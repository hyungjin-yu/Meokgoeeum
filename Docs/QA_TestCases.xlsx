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" sheetId="2" state="visible" r:id="rId2"/>
    <sheet name="TestCases" sheetId="3" state="visible" r:id="rId3"/>
  </sheets>
  <definedNames>
    <definedName name="_xlnm._FilterDatabase" localSheetId="2" hidden="1">'TestCases'!$A$1:$R$61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666666"/>
      <sz val="10"/>
    </font>
    <font>
      <b val="1"/>
      <color rgb="00FFFFFF"/>
      <sz val="12"/>
    </font>
    <font>
      <b val="1"/>
    </font>
    <font>
      <b val="1"/>
      <sz val="9"/>
    </font>
    <font>
      <b val="1"/>
      <sz val="12"/>
    </font>
    <font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0E0E0"/>
        <bgColor rgb="00E0E0E0"/>
      </patternFill>
    </fill>
    <fill>
      <patternFill patternType="solid">
        <fgColor rgb="001F3864"/>
        <bgColor rgb="001F3864"/>
      </patternFill>
    </fill>
    <fill>
      <patternFill patternType="solid">
        <fgColor rgb="00F8CBCB"/>
        <bgColor rgb="00F8CBCB"/>
      </patternFill>
    </fill>
    <fill>
      <patternFill patternType="solid">
        <fgColor rgb="00FFE8A1"/>
        <bgColor rgb="00FFE8A1"/>
      </patternFill>
    </fill>
    <fill>
      <patternFill patternType="solid">
        <fgColor rgb="00FBE0DE"/>
        <bgColor rgb="00FBE0DE"/>
      </patternFill>
    </fill>
    <fill>
      <patternFill patternType="solid">
        <fgColor rgb="00D9E8FB"/>
        <bgColor rgb="00D9E8F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6" fillId="0" borderId="0" pivotButton="0" quotePrefix="0" xfId="0"/>
    <xf numFmtId="9" fontId="6" fillId="0" borderId="0" pivotButton="0" quotePrefix="0" xfId="0"/>
    <xf numFmtId="0" fontId="7" fillId="7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666666"/>
      </font>
      <fill>
        <patternFill patternType="solid">
          <fgColor rgb="00E0E0E0"/>
          <bgColor rgb="00E0E0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70" customWidth="1" min="3" max="3"/>
  </cols>
  <sheetData>
    <row r="1" ht="18" customHeight="1"/>
    <row r="2" ht="26" customHeight="1">
      <c r="B2" s="1" t="inlineStr">
        <is>
          <t>먹괴음 QA 테스트 케이스</t>
        </is>
      </c>
    </row>
    <row r="3" ht="18" customHeight="1">
      <c r="B3" s="2" t="inlineStr">
        <is>
          <t>작성일: 2026-09-07   |   버전: v1.1   |   대상 빌드: 2026-09-07 EnemyBase/asmdef/네임스페이스 리팩토링 이후</t>
        </is>
      </c>
    </row>
    <row r="4" ht="18" customHeight="1"/>
    <row r="5" ht="18" customHeight="1">
      <c r="B5" s="3" t="inlineStr">
        <is>
          <t>시트 구성</t>
        </is>
      </c>
      <c r="C5" s="4" t="n"/>
    </row>
    <row r="6" ht="18" customHeight="1">
      <c r="B6" s="5" t="inlineStr">
        <is>
          <t>README</t>
        </is>
      </c>
      <c r="C6" s="6" t="inlineStr">
        <is>
          <t>이 문서 사용법</t>
        </is>
      </c>
    </row>
    <row r="7" ht="18" customHeight="1">
      <c r="B7" s="5" t="inlineStr">
        <is>
          <t>Summary</t>
        </is>
      </c>
      <c r="C7" s="6" t="inlineStr">
        <is>
          <t>카테고리/우선순위별 집계 + 진행률 대시보드</t>
        </is>
      </c>
    </row>
    <row r="8" ht="18" customHeight="1">
      <c r="B8" s="5" t="inlineStr">
        <is>
          <t>TestCases</t>
        </is>
      </c>
      <c r="C8" s="6" t="inlineStr">
        <is>
          <t>실제 테스트 케이스 60건</t>
        </is>
      </c>
    </row>
    <row r="9" ht="18" customHeight="1"/>
    <row r="10" ht="18" customHeight="1">
      <c r="B10" s="3" t="inlineStr">
        <is>
          <t>컬럼 설명</t>
        </is>
      </c>
      <c r="C10" s="4" t="n"/>
    </row>
    <row r="11" ht="18" customHeight="1">
      <c r="B11" s="7" t="inlineStr">
        <is>
          <t>TC ID</t>
        </is>
      </c>
      <c r="C11" s="6" t="inlineStr">
        <is>
          <t>모듈코드-일련번호. 예를 들어 TC-CBT-001. 버그 리포트나 커밋에서 이 ID로 케이스를 참조하세요.</t>
        </is>
      </c>
    </row>
    <row r="12" ht="18" customHeight="1">
      <c r="B12" s="7" t="inlineStr">
        <is>
          <t>모듈/기능</t>
        </is>
      </c>
      <c r="C12" s="6" t="inlineStr">
        <is>
          <t>테스트 대상 시스템과 세부 기능</t>
        </is>
      </c>
    </row>
    <row r="13" ht="18" customHeight="1">
      <c r="B13" s="7" t="inlineStr">
        <is>
          <t>유형</t>
        </is>
      </c>
      <c r="C13" s="6" t="inlineStr">
        <is>
          <t>기능은 정상 동작 확인, 회귀는 과거 버그 재발 방지, 경계값은 한계치 검증, 예외처리는 비정상 입력 대응</t>
        </is>
      </c>
    </row>
    <row r="14" ht="18" customHeight="1">
      <c r="B14" s="7" t="inlineStr">
        <is>
          <t>테스트 케이스</t>
        </is>
      </c>
      <c r="C14" s="6" t="inlineStr">
        <is>
          <t>무엇을 검증하는지 한 줄 요약</t>
        </is>
      </c>
    </row>
    <row r="15" ht="18" customHeight="1">
      <c r="B15" s="7" t="inlineStr">
        <is>
          <t>사전조건 / 테스트 데이터</t>
        </is>
      </c>
      <c r="C15" s="6" t="inlineStr">
        <is>
          <t>테스트 시작 전 상태, 사용할 구체적인 수치·입력값</t>
        </is>
      </c>
    </row>
    <row r="16" ht="18" customHeight="1">
      <c r="B16" s="7" t="inlineStr">
        <is>
          <t>테스트 절차 / 예상 결과</t>
        </is>
      </c>
      <c r="C16" s="6" t="inlineStr">
        <is>
          <t>수행 순서와 정상 기준</t>
        </is>
      </c>
    </row>
    <row r="17" ht="18" customHeight="1">
      <c r="B17" s="7" t="inlineStr">
        <is>
          <t>우선순위</t>
        </is>
      </c>
      <c r="C17" s="6" t="inlineStr">
        <is>
          <t>P0는 핵심 플레이 루프라 반드시 확인, P1은 중요, P2는 부가 기능</t>
        </is>
      </c>
    </row>
    <row r="18" ht="18" customHeight="1">
      <c r="B18" s="7" t="inlineStr">
        <is>
          <t>자동화</t>
        </is>
      </c>
      <c r="C18" s="6" t="inlineStr">
        <is>
          <t>Y는 Unity Test Framework EditMode 테스트로 이미 커버됨, N은 수동 테스트 필요</t>
        </is>
      </c>
    </row>
    <row r="19" ht="18" customHeight="1">
      <c r="B19" s="7" t="inlineStr">
        <is>
          <t>실제 결과 / 결과 / 테스터 / 테스트일자 / 빌드-버전 / 결함ID</t>
        </is>
      </c>
      <c r="C19" s="6" t="inlineStr">
        <is>
          <t>테스트 실행 시 QA가 직접 채우는 칸. 결과는 Pass, Fail, Blocked, N-A 중 하나로 기록</t>
        </is>
      </c>
    </row>
    <row r="20" ht="18" customHeight="1">
      <c r="B20" s="7" t="inlineStr">
        <is>
          <t>비고</t>
        </is>
      </c>
      <c r="C20" s="6" t="inlineStr">
        <is>
          <t>관련 과거 버그, 참고 문서, 특이사항</t>
        </is>
      </c>
    </row>
    <row r="21" ht="18" customHeight="1"/>
    <row r="22" ht="18" customHeight="1">
      <c r="B22" s="3" t="inlineStr">
        <is>
          <t>결과 색상 규칙 — TestCases 시트 '결과' 컬럼</t>
        </is>
      </c>
      <c r="C22" s="4" t="n"/>
    </row>
    <row r="23" ht="18" customHeight="1">
      <c r="B23" s="8" t="inlineStr">
        <is>
          <t>Pass</t>
        </is>
      </c>
      <c r="C23" s="6" t="inlineStr">
        <is>
          <t>정상 통과</t>
        </is>
      </c>
    </row>
    <row r="24" ht="18" customHeight="1">
      <c r="B24" s="9" t="inlineStr">
        <is>
          <t>Fail</t>
        </is>
      </c>
      <c r="C24" s="6" t="inlineStr">
        <is>
          <t>실패 — 결함ID에 이슈 트래커 번호 기록</t>
        </is>
      </c>
    </row>
    <row r="25" ht="18" customHeight="1">
      <c r="B25" s="10" t="inlineStr">
        <is>
          <t>Blocked</t>
        </is>
      </c>
      <c r="C25" s="6" t="inlineStr">
        <is>
          <t>선행 조건/환경 문제로 테스트 불가</t>
        </is>
      </c>
    </row>
    <row r="26" ht="18" customHeight="1">
      <c r="B26" s="11" t="inlineStr">
        <is>
          <t>N/A</t>
        </is>
      </c>
      <c r="C26" s="6" t="inlineStr">
        <is>
          <t>해당 없음, 이번 빌드에서 테스트 대상 아님</t>
        </is>
      </c>
    </row>
    <row r="27" ht="18" customHeight="1"/>
    <row r="28" ht="18" customHeight="1"/>
  </sheetData>
  <mergeCells count="3">
    <mergeCell ref="B22:C22"/>
    <mergeCell ref="B5:C5"/>
    <mergeCell ref="B10:C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32"/>
  <sheetViews>
    <sheetView showGridLines="0" workbookViewId="0">
      <selection activeCell="A1" sqref="A1"/>
    </sheetView>
  </sheetViews>
  <sheetFormatPr baseColWidth="8" defaultRowHeight="15"/>
  <cols>
    <col width="20" customWidth="1" min="2" max="2"/>
    <col width="12" customWidth="1" min="3" max="3"/>
    <col width="8" customWidth="1" min="4" max="4"/>
    <col width="8" customWidth="1" min="5" max="5"/>
    <col width="8" customWidth="1" min="6" max="6"/>
    <col width="12" customWidth="1" min="7" max="7"/>
  </cols>
  <sheetData>
    <row r="2">
      <c r="B2" s="1" t="inlineStr">
        <is>
          <t>테스트 진행 현황 대시보드</t>
        </is>
      </c>
    </row>
    <row r="3">
      <c r="B3" s="2" t="inlineStr">
        <is>
          <t>TestCases 시트의 '결과' 컬럼을 채우면 아래 집계가 자동으로 갱신됩니다.</t>
        </is>
      </c>
    </row>
    <row r="5">
      <c r="B5" s="5" t="inlineStr">
        <is>
          <t>총 테스트 케이스</t>
        </is>
      </c>
      <c r="C5" s="12" t="n">
        <v>60</v>
      </c>
    </row>
    <row r="6">
      <c r="B6" s="5" t="inlineStr">
        <is>
          <t>Pass</t>
        </is>
      </c>
      <c r="C6" s="12">
        <f>COUNTIF(TestCases!M:M,"Pass")</f>
        <v/>
      </c>
    </row>
    <row r="7">
      <c r="B7" s="5" t="inlineStr">
        <is>
          <t>Fail</t>
        </is>
      </c>
      <c r="C7" s="12">
        <f>COUNTIF(TestCases!M:M,"Fail")</f>
        <v/>
      </c>
    </row>
    <row r="8">
      <c r="B8" s="5" t="inlineStr">
        <is>
          <t>Blocked</t>
        </is>
      </c>
      <c r="C8" s="12">
        <f>COUNTIF(TestCases!M:M,"Blocked")</f>
        <v/>
      </c>
    </row>
    <row r="9">
      <c r="B9" s="5" t="inlineStr">
        <is>
          <t>미실행</t>
        </is>
      </c>
      <c r="C9" s="12">
        <f>60-COUNTA(TestCases!M2:M61)</f>
        <v/>
      </c>
    </row>
    <row r="10">
      <c r="B10" s="5" t="inlineStr">
        <is>
          <t>진행률</t>
        </is>
      </c>
      <c r="C10" s="13">
        <f>COUNTA(TestCases!M2:M61)/60</f>
        <v/>
      </c>
    </row>
    <row r="13">
      <c r="B13" s="14" t="inlineStr">
        <is>
          <t>모듈</t>
        </is>
      </c>
      <c r="C13" s="14" t="inlineStr">
        <is>
          <t>케이스 수</t>
        </is>
      </c>
      <c r="D13" s="14" t="inlineStr">
        <is>
          <t>P0</t>
        </is>
      </c>
      <c r="E13" s="14" t="inlineStr">
        <is>
          <t>P1</t>
        </is>
      </c>
      <c r="F13" s="14" t="inlineStr">
        <is>
          <t>P2</t>
        </is>
      </c>
      <c r="G13" s="14" t="inlineStr">
        <is>
          <t>회귀 케이스</t>
        </is>
      </c>
    </row>
    <row r="14">
      <c r="B14" s="15" t="inlineStr">
        <is>
          <t>전투-기본공격</t>
        </is>
      </c>
      <c r="C14" s="15">
        <f>COUNTIF(TestCases!B:B,"전투-기본공격")</f>
        <v/>
      </c>
      <c r="D14" s="15">
        <f>COUNTIFS(TestCases!B:B,"전투-기본공격",TestCases!J:J,"P0")</f>
        <v/>
      </c>
      <c r="E14" s="15">
        <f>COUNTIFS(TestCases!B:B,"전투-기본공격",TestCases!J:J,"P1")</f>
        <v/>
      </c>
      <c r="F14" s="15">
        <f>COUNTIFS(TestCases!B:B,"전투-기본공격",TestCases!J:J,"P2")</f>
        <v/>
      </c>
      <c r="G14" s="15">
        <f>COUNTIFS(TestCases!B:B,"전투-기본공격",TestCases!D:D,"회귀")</f>
        <v/>
      </c>
    </row>
    <row r="15">
      <c r="B15" s="15" t="inlineStr">
        <is>
          <t>전투-색스킬</t>
        </is>
      </c>
      <c r="C15" s="15">
        <f>COUNTIF(TestCases!B:B,"전투-색스킬")</f>
        <v/>
      </c>
      <c r="D15" s="15">
        <f>COUNTIFS(TestCases!B:B,"전투-색스킬",TestCases!J:J,"P0")</f>
        <v/>
      </c>
      <c r="E15" s="15">
        <f>COUNTIFS(TestCases!B:B,"전투-색스킬",TestCases!J:J,"P1")</f>
        <v/>
      </c>
      <c r="F15" s="15">
        <f>COUNTIFS(TestCases!B:B,"전투-색스킬",TestCases!J:J,"P2")</f>
        <v/>
      </c>
      <c r="G15" s="15">
        <f>COUNTIFS(TestCases!B:B,"전투-색스킬",TestCases!D:D,"회귀")</f>
        <v/>
      </c>
    </row>
    <row r="16">
      <c r="B16" s="15" t="inlineStr">
        <is>
          <t>전투-회피</t>
        </is>
      </c>
      <c r="C16" s="15">
        <f>COUNTIF(TestCases!B:B,"전투-회피")</f>
        <v/>
      </c>
      <c r="D16" s="15">
        <f>COUNTIFS(TestCases!B:B,"전투-회피",TestCases!J:J,"P0")</f>
        <v/>
      </c>
      <c r="E16" s="15">
        <f>COUNTIFS(TestCases!B:B,"전투-회피",TestCases!J:J,"P1")</f>
        <v/>
      </c>
      <c r="F16" s="15">
        <f>COUNTIFS(TestCases!B:B,"전투-회피",TestCases!J:J,"P2")</f>
        <v/>
      </c>
      <c r="G16" s="15">
        <f>COUNTIFS(TestCases!B:B,"전투-회피",TestCases!D:D,"회귀")</f>
        <v/>
      </c>
    </row>
    <row r="17">
      <c r="B17" s="15" t="inlineStr">
        <is>
          <t>전투-락온</t>
        </is>
      </c>
      <c r="C17" s="15">
        <f>COUNTIF(TestCases!B:B,"전투-락온")</f>
        <v/>
      </c>
      <c r="D17" s="15">
        <f>COUNTIFS(TestCases!B:B,"전투-락온",TestCases!J:J,"P0")</f>
        <v/>
      </c>
      <c r="E17" s="15">
        <f>COUNTIFS(TestCases!B:B,"전투-락온",TestCases!J:J,"P1")</f>
        <v/>
      </c>
      <c r="F17" s="15">
        <f>COUNTIFS(TestCases!B:B,"전투-락온",TestCases!J:J,"P2")</f>
        <v/>
      </c>
      <c r="G17" s="15">
        <f>COUNTIFS(TestCases!B:B,"전투-락온",TestCases!D:D,"회귀")</f>
        <v/>
      </c>
    </row>
    <row r="18">
      <c r="B18" s="15" t="inlineStr">
        <is>
          <t>몹AI-평</t>
        </is>
      </c>
      <c r="C18" s="15">
        <f>COUNTIF(TestCases!B:B,"몹AI-평")</f>
        <v/>
      </c>
      <c r="D18" s="15">
        <f>COUNTIFS(TestCases!B:B,"몹AI-평",TestCases!J:J,"P0")</f>
        <v/>
      </c>
      <c r="E18" s="15">
        <f>COUNTIFS(TestCases!B:B,"몹AI-평",TestCases!J:J,"P1")</f>
        <v/>
      </c>
      <c r="F18" s="15">
        <f>COUNTIFS(TestCases!B:B,"몹AI-평",TestCases!J:J,"P2")</f>
        <v/>
      </c>
      <c r="G18" s="15">
        <f>COUNTIFS(TestCases!B:B,"몹AI-평",TestCases!D:D,"회귀")</f>
        <v/>
      </c>
    </row>
    <row r="19">
      <c r="B19" s="15" t="inlineStr">
        <is>
          <t>몹AI-원</t>
        </is>
      </c>
      <c r="C19" s="15">
        <f>COUNTIF(TestCases!B:B,"몹AI-원")</f>
        <v/>
      </c>
      <c r="D19" s="15">
        <f>COUNTIFS(TestCases!B:B,"몹AI-원",TestCases!J:J,"P0")</f>
        <v/>
      </c>
      <c r="E19" s="15">
        <f>COUNTIFS(TestCases!B:B,"몹AI-원",TestCases!J:J,"P1")</f>
        <v/>
      </c>
      <c r="F19" s="15">
        <f>COUNTIFS(TestCases!B:B,"몹AI-원",TestCases!J:J,"P2")</f>
        <v/>
      </c>
      <c r="G19" s="15">
        <f>COUNTIFS(TestCases!B:B,"몹AI-원",TestCases!D:D,"회귀")</f>
        <v/>
      </c>
    </row>
    <row r="20">
      <c r="B20" s="15" t="inlineStr">
        <is>
          <t>몹AI-흡</t>
        </is>
      </c>
      <c r="C20" s="15">
        <f>COUNTIF(TestCases!B:B,"몹AI-흡")</f>
        <v/>
      </c>
      <c r="D20" s="15">
        <f>COUNTIFS(TestCases!B:B,"몹AI-흡",TestCases!J:J,"P0")</f>
        <v/>
      </c>
      <c r="E20" s="15">
        <f>COUNTIFS(TestCases!B:B,"몹AI-흡",TestCases!J:J,"P1")</f>
        <v/>
      </c>
      <c r="F20" s="15">
        <f>COUNTIFS(TestCases!B:B,"몹AI-흡",TestCases!J:J,"P2")</f>
        <v/>
      </c>
      <c r="G20" s="15">
        <f>COUNTIFS(TestCases!B:B,"몹AI-흡",TestCases!D:D,"회귀")</f>
        <v/>
      </c>
    </row>
    <row r="21">
      <c r="B21" s="15" t="inlineStr">
        <is>
          <t>몹AI-분</t>
        </is>
      </c>
      <c r="C21" s="15">
        <f>COUNTIF(TestCases!B:B,"몹AI-분")</f>
        <v/>
      </c>
      <c r="D21" s="15">
        <f>COUNTIFS(TestCases!B:B,"몹AI-분",TestCases!J:J,"P0")</f>
        <v/>
      </c>
      <c r="E21" s="15">
        <f>COUNTIFS(TestCases!B:B,"몹AI-분",TestCases!J:J,"P1")</f>
        <v/>
      </c>
      <c r="F21" s="15">
        <f>COUNTIFS(TestCases!B:B,"몹AI-분",TestCases!J:J,"P2")</f>
        <v/>
      </c>
      <c r="G21" s="15">
        <f>COUNTIFS(TestCases!B:B,"몹AI-분",TestCases!D:D,"회귀")</f>
        <v/>
      </c>
    </row>
    <row r="22">
      <c r="B22" s="15" t="inlineStr">
        <is>
          <t>몹AI-광</t>
        </is>
      </c>
      <c r="C22" s="15">
        <f>COUNTIF(TestCases!B:B,"몹AI-광")</f>
        <v/>
      </c>
      <c r="D22" s="15">
        <f>COUNTIFS(TestCases!B:B,"몹AI-광",TestCases!J:J,"P0")</f>
        <v/>
      </c>
      <c r="E22" s="15">
        <f>COUNTIFS(TestCases!B:B,"몹AI-광",TestCases!J:J,"P1")</f>
        <v/>
      </c>
      <c r="F22" s="15">
        <f>COUNTIFS(TestCases!B:B,"몹AI-광",TestCases!J:J,"P2")</f>
        <v/>
      </c>
      <c r="G22" s="15">
        <f>COUNTIFS(TestCases!B:B,"몹AI-광",TestCases!D:D,"회귀")</f>
        <v/>
      </c>
    </row>
    <row r="23">
      <c r="B23" s="15" t="inlineStr">
        <is>
          <t>몹AI-공통</t>
        </is>
      </c>
      <c r="C23" s="15">
        <f>COUNTIF(TestCases!B:B,"몹AI-공통")</f>
        <v/>
      </c>
      <c r="D23" s="15">
        <f>COUNTIFS(TestCases!B:B,"몹AI-공통",TestCases!J:J,"P0")</f>
        <v/>
      </c>
      <c r="E23" s="15">
        <f>COUNTIFS(TestCases!B:B,"몹AI-공통",TestCases!J:J,"P1")</f>
        <v/>
      </c>
      <c r="F23" s="15">
        <f>COUNTIFS(TestCases!B:B,"몹AI-공통",TestCases!J:J,"P2")</f>
        <v/>
      </c>
      <c r="G23" s="15">
        <f>COUNTIFS(TestCases!B:B,"몹AI-공통",TestCases!D:D,"회귀")</f>
        <v/>
      </c>
    </row>
    <row r="24">
      <c r="B24" s="15" t="inlineStr">
        <is>
          <t>보스전</t>
        </is>
      </c>
      <c r="C24" s="15">
        <f>COUNTIF(TestCases!B:B,"보스전")</f>
        <v/>
      </c>
      <c r="D24" s="15">
        <f>COUNTIFS(TestCases!B:B,"보스전",TestCases!J:J,"P0")</f>
        <v/>
      </c>
      <c r="E24" s="15">
        <f>COUNTIFS(TestCases!B:B,"보스전",TestCases!J:J,"P1")</f>
        <v/>
      </c>
      <c r="F24" s="15">
        <f>COUNTIFS(TestCases!B:B,"보스전",TestCases!J:J,"P2")</f>
        <v/>
      </c>
      <c r="G24" s="15">
        <f>COUNTIFS(TestCases!B:B,"보스전",TestCases!D:D,"회귀")</f>
        <v/>
      </c>
    </row>
    <row r="25">
      <c r="B25" s="15" t="inlineStr">
        <is>
          <t>색구슬시스템</t>
        </is>
      </c>
      <c r="C25" s="15">
        <f>COUNTIF(TestCases!B:B,"색구슬시스템")</f>
        <v/>
      </c>
      <c r="D25" s="15">
        <f>COUNTIFS(TestCases!B:B,"색구슬시스템",TestCases!J:J,"P0")</f>
        <v/>
      </c>
      <c r="E25" s="15">
        <f>COUNTIFS(TestCases!B:B,"색구슬시스템",TestCases!J:J,"P1")</f>
        <v/>
      </c>
      <c r="F25" s="15">
        <f>COUNTIFS(TestCases!B:B,"색구슬시스템",TestCases!J:J,"P2")</f>
        <v/>
      </c>
      <c r="G25" s="15">
        <f>COUNTIFS(TestCases!B:B,"색구슬시스템",TestCases!D:D,"회귀")</f>
        <v/>
      </c>
    </row>
    <row r="26">
      <c r="B26" s="15" t="inlineStr">
        <is>
          <t>색칠/복원</t>
        </is>
      </c>
      <c r="C26" s="15">
        <f>COUNTIF(TestCases!B:B,"색칠/복원")</f>
        <v/>
      </c>
      <c r="D26" s="15">
        <f>COUNTIFS(TestCases!B:B,"색칠/복원",TestCases!J:J,"P0")</f>
        <v/>
      </c>
      <c r="E26" s="15">
        <f>COUNTIFS(TestCases!B:B,"색칠/복원",TestCases!J:J,"P1")</f>
        <v/>
      </c>
      <c r="F26" s="15">
        <f>COUNTIFS(TestCases!B:B,"색칠/복원",TestCases!J:J,"P2")</f>
        <v/>
      </c>
      <c r="G26" s="15">
        <f>COUNTIFS(TestCases!B:B,"색칠/복원",TestCases!D:D,"회귀")</f>
        <v/>
      </c>
    </row>
    <row r="27">
      <c r="B27" s="15" t="inlineStr">
        <is>
          <t>룸클리어/계단</t>
        </is>
      </c>
      <c r="C27" s="15">
        <f>COUNTIF(TestCases!B:B,"룸클리어/계단")</f>
        <v/>
      </c>
      <c r="D27" s="15">
        <f>COUNTIFS(TestCases!B:B,"룸클리어/계단",TestCases!J:J,"P0")</f>
        <v/>
      </c>
      <c r="E27" s="15">
        <f>COUNTIFS(TestCases!B:B,"룸클리어/계단",TestCases!J:J,"P1")</f>
        <v/>
      </c>
      <c r="F27" s="15">
        <f>COUNTIFS(TestCases!B:B,"룸클리어/계단",TestCases!J:J,"P2")</f>
        <v/>
      </c>
      <c r="G27" s="15">
        <f>COUNTIFS(TestCases!B:B,"룸클리어/계단",TestCases!D:D,"회귀")</f>
        <v/>
      </c>
    </row>
    <row r="28">
      <c r="B28" s="15" t="inlineStr">
        <is>
          <t>세이브/로드</t>
        </is>
      </c>
      <c r="C28" s="15">
        <f>COUNTIF(TestCases!B:B,"세이브/로드")</f>
        <v/>
      </c>
      <c r="D28" s="15">
        <f>COUNTIFS(TestCases!B:B,"세이브/로드",TestCases!J:J,"P0")</f>
        <v/>
      </c>
      <c r="E28" s="15">
        <f>COUNTIFS(TestCases!B:B,"세이브/로드",TestCases!J:J,"P1")</f>
        <v/>
      </c>
      <c r="F28" s="15">
        <f>COUNTIFS(TestCases!B:B,"세이브/로드",TestCases!J:J,"P2")</f>
        <v/>
      </c>
      <c r="G28" s="15">
        <f>COUNTIFS(TestCases!B:B,"세이브/로드",TestCases!D:D,"회귀")</f>
        <v/>
      </c>
    </row>
    <row r="29">
      <c r="B29" s="15" t="inlineStr">
        <is>
          <t>게임오버/리트라이</t>
        </is>
      </c>
      <c r="C29" s="15">
        <f>COUNTIF(TestCases!B:B,"게임오버/리트라이")</f>
        <v/>
      </c>
      <c r="D29" s="15">
        <f>COUNTIFS(TestCases!B:B,"게임오버/리트라이",TestCases!J:J,"P0")</f>
        <v/>
      </c>
      <c r="E29" s="15">
        <f>COUNTIFS(TestCases!B:B,"게임오버/리트라이",TestCases!J:J,"P1")</f>
        <v/>
      </c>
      <c r="F29" s="15">
        <f>COUNTIFS(TestCases!B:B,"게임오버/리트라이",TestCases!J:J,"P2")</f>
        <v/>
      </c>
      <c r="G29" s="15">
        <f>COUNTIFS(TestCases!B:B,"게임오버/리트라이",TestCases!D:D,"회귀")</f>
        <v/>
      </c>
    </row>
    <row r="30">
      <c r="B30" s="15" t="inlineStr">
        <is>
          <t>UI</t>
        </is>
      </c>
      <c r="C30" s="15">
        <f>COUNTIF(TestCases!B:B,"UI")</f>
        <v/>
      </c>
      <c r="D30" s="15">
        <f>COUNTIFS(TestCases!B:B,"UI",TestCases!J:J,"P0")</f>
        <v/>
      </c>
      <c r="E30" s="15">
        <f>COUNTIFS(TestCases!B:B,"UI",TestCases!J:J,"P1")</f>
        <v/>
      </c>
      <c r="F30" s="15">
        <f>COUNTIFS(TestCases!B:B,"UI",TestCases!J:J,"P2")</f>
        <v/>
      </c>
      <c r="G30" s="15">
        <f>COUNTIFS(TestCases!B:B,"UI",TestCases!D:D,"회귀")</f>
        <v/>
      </c>
    </row>
    <row r="31">
      <c r="B31" s="15" t="inlineStr">
        <is>
          <t>리팩토링검증</t>
        </is>
      </c>
      <c r="C31" s="15">
        <f>COUNTIF(TestCases!B:B,"리팩토링검증")</f>
        <v/>
      </c>
      <c r="D31" s="15">
        <f>COUNTIFS(TestCases!B:B,"리팩토링검증",TestCases!J:J,"P0")</f>
        <v/>
      </c>
      <c r="E31" s="15">
        <f>COUNTIFS(TestCases!B:B,"리팩토링검증",TestCases!J:J,"P1")</f>
        <v/>
      </c>
      <c r="F31" s="15">
        <f>COUNTIFS(TestCases!B:B,"리팩토링검증",TestCases!J:J,"P2")</f>
        <v/>
      </c>
      <c r="G31" s="15">
        <f>COUNTIFS(TestCases!B:B,"리팩토링검증",TestCases!D:D,"회귀")</f>
        <v/>
      </c>
    </row>
    <row r="32">
      <c r="B32" s="15" t="inlineStr">
        <is>
          <t>자동화 단위테스트</t>
        </is>
      </c>
      <c r="C32" s="15">
        <f>COUNTIF(TestCases!B:B,"자동화 단위테스트")</f>
        <v/>
      </c>
      <c r="D32" s="15">
        <f>COUNTIFS(TestCases!B:B,"자동화 단위테스트",TestCases!J:J,"P0")</f>
        <v/>
      </c>
      <c r="E32" s="15">
        <f>COUNTIFS(TestCases!B:B,"자동화 단위테스트",TestCases!J:J,"P1")</f>
        <v/>
      </c>
      <c r="F32" s="15">
        <f>COUNTIFS(TestCases!B:B,"자동화 단위테스트",TestCases!J:J,"P2")</f>
        <v/>
      </c>
      <c r="G32" s="15">
        <f>COUNTIFS(TestCases!B:B,"자동화 단위테스트",TestCases!D:D,"회귀")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9" customWidth="1" min="4" max="4"/>
    <col width="26" customWidth="1" min="5" max="5"/>
    <col width="22" customWidth="1" min="6" max="6"/>
    <col width="18" customWidth="1" min="7" max="7"/>
    <col width="34" customWidth="1" min="8" max="8"/>
    <col width="34" customWidth="1" min="9" max="9"/>
    <col width="8" customWidth="1" min="10" max="10"/>
    <col width="8" customWidth="1" min="11" max="11"/>
    <col width="20" customWidth="1" min="12" max="12"/>
    <col width="9" customWidth="1" min="13" max="13"/>
    <col width="10" customWidth="1" min="14" max="14"/>
    <col width="12" customWidth="1" min="15" max="15"/>
    <col width="12" customWidth="1" min="16" max="16"/>
    <col width="10" customWidth="1" min="17" max="17"/>
    <col width="26" customWidth="1" min="18" max="18"/>
  </cols>
  <sheetData>
    <row r="1">
      <c r="A1" s="16" t="inlineStr">
        <is>
          <t>TC ID</t>
        </is>
      </c>
      <c r="B1" s="16" t="inlineStr">
        <is>
          <t>모듈</t>
        </is>
      </c>
      <c r="C1" s="16" t="inlineStr">
        <is>
          <t>기능</t>
        </is>
      </c>
      <c r="D1" s="16" t="inlineStr">
        <is>
          <t>유형</t>
        </is>
      </c>
      <c r="E1" s="16" t="inlineStr">
        <is>
          <t>테스트 케이스</t>
        </is>
      </c>
      <c r="F1" s="16" t="inlineStr">
        <is>
          <t>사전조건</t>
        </is>
      </c>
      <c r="G1" s="16" t="inlineStr">
        <is>
          <t>테스트 데이터</t>
        </is>
      </c>
      <c r="H1" s="16" t="inlineStr">
        <is>
          <t>테스트 절차</t>
        </is>
      </c>
      <c r="I1" s="16" t="inlineStr">
        <is>
          <t>예상 결과</t>
        </is>
      </c>
      <c r="J1" s="16" t="inlineStr">
        <is>
          <t>우선순위</t>
        </is>
      </c>
      <c r="K1" s="16" t="inlineStr">
        <is>
          <t>자동화</t>
        </is>
      </c>
      <c r="L1" s="16" t="inlineStr">
        <is>
          <t>실제 결과</t>
        </is>
      </c>
      <c r="M1" s="16" t="inlineStr">
        <is>
          <t>결과</t>
        </is>
      </c>
      <c r="N1" s="16" t="inlineStr">
        <is>
          <t>테스터</t>
        </is>
      </c>
      <c r="O1" s="16" t="inlineStr">
        <is>
          <t>테스트일자</t>
        </is>
      </c>
      <c r="P1" s="16" t="inlineStr">
        <is>
          <t>빌드/버전</t>
        </is>
      </c>
      <c r="Q1" s="16" t="inlineStr">
        <is>
          <t>결함ID</t>
        </is>
      </c>
      <c r="R1" s="16" t="inlineStr">
        <is>
          <t>비고</t>
        </is>
      </c>
    </row>
    <row r="2" ht="48" customHeight="1">
      <c r="A2" s="15" t="inlineStr">
        <is>
          <t>TC-CBT-001</t>
        </is>
      </c>
      <c r="B2" s="15" t="inlineStr">
        <is>
          <t>전투-기본공격</t>
        </is>
      </c>
      <c r="C2" s="17" t="inlineStr">
        <is>
          <t>붓 3타 콤보</t>
        </is>
      </c>
      <c r="D2" s="15" t="inlineStr">
        <is>
          <t>기능</t>
        </is>
      </c>
      <c r="E2" s="17" t="inlineStr">
        <is>
          <t>콤보가 순서대로 진행된다</t>
        </is>
      </c>
      <c r="F2" s="17" t="inlineStr">
        <is>
          <t>적 1마리 근접</t>
        </is>
      </c>
      <c r="G2" s="17" t="inlineStr">
        <is>
          <t>-</t>
        </is>
      </c>
      <c r="H2" s="17" t="inlineStr">
        <is>
          <t>Recovery 구간 마지막 6프레임인 입력 버퍼 안에서 좌클릭을 3번 연타</t>
        </is>
      </c>
      <c r="I2" s="17" t="inlineStr">
        <is>
          <t>1타→2타→3타 순서로 이어지고, 대미지가 각각 attackPower×0.6/0.7/1.0으로 커진다</t>
        </is>
      </c>
      <c r="J2" s="18" t="inlineStr">
        <is>
          <t>P0</t>
        </is>
      </c>
      <c r="K2" s="15" t="inlineStr">
        <is>
          <t>N</t>
        </is>
      </c>
      <c r="L2" s="17" t="inlineStr"/>
      <c r="M2" s="15" t="inlineStr"/>
      <c r="N2" s="15" t="inlineStr"/>
      <c r="O2" s="15" t="inlineStr"/>
      <c r="P2" s="15" t="inlineStr"/>
      <c r="Q2" s="15" t="inlineStr"/>
      <c r="R2" s="17" t="inlineStr"/>
    </row>
    <row r="3" ht="48" customHeight="1">
      <c r="A3" s="15" t="inlineStr">
        <is>
          <t>TC-CBT-002</t>
        </is>
      </c>
      <c r="B3" s="15" t="inlineStr">
        <is>
          <t>전투-기본공격</t>
        </is>
      </c>
      <c r="C3" s="17" t="inlineStr">
        <is>
          <t>붓 3타 콤보</t>
        </is>
      </c>
      <c r="D3" s="15" t="inlineStr">
        <is>
          <t>경계값</t>
        </is>
      </c>
      <c r="E3" s="17" t="inlineStr">
        <is>
          <t>버퍼 구간을 놓치면 콤보가 끊긴다</t>
        </is>
      </c>
      <c r="F3" s="17" t="inlineStr">
        <is>
          <t>적 1마리 근접</t>
        </is>
      </c>
      <c r="G3" s="17" t="inlineStr">
        <is>
          <t>-</t>
        </is>
      </c>
      <c r="H3" s="17" t="inlineStr">
        <is>
          <t>1타 명중 후 Recovery 버퍼 구간이 지나도록 기다렸다가 다시 클릭</t>
        </is>
      </c>
      <c r="I3" s="17" t="inlineStr">
        <is>
          <t>콤보가 1타로 리셋되고 새 콤보가 시작된다, 2타로는 안 이어짐</t>
        </is>
      </c>
      <c r="J3" s="19" t="inlineStr">
        <is>
          <t>P1</t>
        </is>
      </c>
      <c r="K3" s="15" t="inlineStr">
        <is>
          <t>N</t>
        </is>
      </c>
      <c r="L3" s="17" t="inlineStr"/>
      <c r="M3" s="15" t="inlineStr"/>
      <c r="N3" s="15" t="inlineStr"/>
      <c r="O3" s="15" t="inlineStr"/>
      <c r="P3" s="15" t="inlineStr"/>
      <c r="Q3" s="15" t="inlineStr"/>
      <c r="R3" s="17" t="inlineStr"/>
    </row>
    <row r="4" ht="48" customHeight="1">
      <c r="A4" s="15" t="inlineStr">
        <is>
          <t>TC-CBT-003</t>
        </is>
      </c>
      <c r="B4" s="15" t="inlineStr">
        <is>
          <t>전투-기본공격</t>
        </is>
      </c>
      <c r="C4" s="17" t="inlineStr">
        <is>
          <t>붓 3타 콤보</t>
        </is>
      </c>
      <c r="D4" s="20" t="inlineStr">
        <is>
          <t>회귀</t>
        </is>
      </c>
      <c r="E4" s="17" t="inlineStr">
        <is>
          <t>자기 자신은 맞지 않는다</t>
        </is>
      </c>
      <c r="F4" s="17" t="inlineStr">
        <is>
          <t>적 근접</t>
        </is>
      </c>
      <c r="G4" s="17" t="inlineStr">
        <is>
          <t>attackPower=1000, 즉사 확인용</t>
        </is>
      </c>
      <c r="H4" s="17" t="inlineStr">
        <is>
          <t>공격력을 임시로 크게 올린 뒤 공격을 여러 번 반복</t>
        </is>
      </c>
      <c r="I4" s="17" t="inlineStr">
        <is>
          <t>플레이어 자신의 HP/피격 로그가 발생하지 않는다</t>
        </is>
      </c>
      <c r="J4" s="18" t="inlineStr">
        <is>
          <t>P0</t>
        </is>
      </c>
      <c r="K4" s="15" t="inlineStr">
        <is>
          <t>N</t>
        </is>
      </c>
      <c r="L4" s="17" t="inlineStr"/>
      <c r="M4" s="15" t="inlineStr"/>
      <c r="N4" s="15" t="inlineStr"/>
      <c r="O4" s="15" t="inlineStr"/>
      <c r="P4" s="15" t="inlineStr"/>
      <c r="Q4" s="15" t="inlineStr"/>
      <c r="R4" s="17" t="inlineStr">
        <is>
          <t>2026-08-21 CharacterController 자기 타격 버그</t>
        </is>
      </c>
    </row>
    <row r="5" ht="48" customHeight="1">
      <c r="A5" s="15" t="inlineStr">
        <is>
          <t>TC-CBT-004</t>
        </is>
      </c>
      <c r="B5" s="15" t="inlineStr">
        <is>
          <t>전투-기본공격</t>
        </is>
      </c>
      <c r="C5" s="17" t="inlineStr">
        <is>
          <t>붓 3타 콤보</t>
        </is>
      </c>
      <c r="D5" s="15" t="inlineStr">
        <is>
          <t>기능</t>
        </is>
      </c>
      <c r="E5" s="17" t="inlineStr">
        <is>
          <t>히트스탑 연출이 걸린다</t>
        </is>
      </c>
      <c r="F5" s="17" t="inlineStr">
        <is>
          <t>적 근접, 명중 확정</t>
        </is>
      </c>
      <c r="G5" s="17" t="inlineStr">
        <is>
          <t>-</t>
        </is>
      </c>
      <c r="H5" s="17" t="inlineStr">
        <is>
          <t>공격해서 명중시킨다</t>
        </is>
      </c>
      <c r="I5" s="17" t="inlineStr">
        <is>
          <t>명중 순간 약 0.05초 Time.timeScale=0으로 잠깐 멈췄다가 정상 복귀한다</t>
        </is>
      </c>
      <c r="J5" s="21" t="inlineStr">
        <is>
          <t>P2</t>
        </is>
      </c>
      <c r="K5" s="15" t="inlineStr">
        <is>
          <t>N</t>
        </is>
      </c>
      <c r="L5" s="17" t="inlineStr"/>
      <c r="M5" s="15" t="inlineStr"/>
      <c r="N5" s="15" t="inlineStr"/>
      <c r="O5" s="15" t="inlineStr"/>
      <c r="P5" s="15" t="inlineStr"/>
      <c r="Q5" s="15" t="inlineStr"/>
      <c r="R5" s="17" t="inlineStr"/>
    </row>
    <row r="6" ht="48" customHeight="1">
      <c r="A6" s="15" t="inlineStr">
        <is>
          <t>TC-SKL-001</t>
        </is>
      </c>
      <c r="B6" s="15" t="inlineStr">
        <is>
          <t>전투-색스킬</t>
        </is>
      </c>
      <c r="C6" s="17" t="inlineStr">
        <is>
          <t>빨강 강타</t>
        </is>
      </c>
      <c r="D6" s="15" t="inlineStr">
        <is>
          <t>기능</t>
        </is>
      </c>
      <c r="E6" s="17" t="inlineStr">
        <is>
          <t>구슬 보유 시 정상 발동</t>
        </is>
      </c>
      <c r="F6" s="17" t="inlineStr">
        <is>
          <t>빨강 구슬 1개 이상, 쿨타임 아님</t>
        </is>
      </c>
      <c r="G6" s="17" t="inlineStr">
        <is>
          <t>키 입력=1</t>
        </is>
      </c>
      <c r="H6" s="17" t="inlineStr">
        <is>
          <t>키 1 입력</t>
        </is>
      </c>
      <c r="I6" s="17" t="inlineStr">
        <is>
          <t>구슬 1개 소모, Startup 대기 후 전방 대시+강타 판정 발생</t>
        </is>
      </c>
      <c r="J6" s="18" t="inlineStr">
        <is>
          <t>P0</t>
        </is>
      </c>
      <c r="K6" s="15" t="inlineStr">
        <is>
          <t>N</t>
        </is>
      </c>
      <c r="L6" s="17" t="inlineStr"/>
      <c r="M6" s="15" t="inlineStr"/>
      <c r="N6" s="15" t="inlineStr"/>
      <c r="O6" s="15" t="inlineStr"/>
      <c r="P6" s="15" t="inlineStr"/>
      <c r="Q6" s="15" t="inlineStr"/>
      <c r="R6" s="17" t="inlineStr"/>
    </row>
    <row r="7" ht="48" customHeight="1">
      <c r="A7" s="15" t="inlineStr">
        <is>
          <t>TC-SKL-002</t>
        </is>
      </c>
      <c r="B7" s="15" t="inlineStr">
        <is>
          <t>전투-색스킬</t>
        </is>
      </c>
      <c r="C7" s="17" t="inlineStr">
        <is>
          <t>빨강 강타</t>
        </is>
      </c>
      <c r="D7" s="15" t="inlineStr">
        <is>
          <t>예외처리</t>
        </is>
      </c>
      <c r="E7" s="17" t="inlineStr">
        <is>
          <t>구슬 없으면 발동 안 함</t>
        </is>
      </c>
      <c r="F7" s="17" t="inlineStr">
        <is>
          <t>빨강 구슬 0개</t>
        </is>
      </c>
      <c r="G7" s="17" t="inlineStr">
        <is>
          <t>키 입력=1</t>
        </is>
      </c>
      <c r="H7" s="17" t="inlineStr">
        <is>
          <t>키 1 입력</t>
        </is>
      </c>
      <c r="I7" s="17" t="inlineStr">
        <is>
          <t>스킬이 나가지 않고 '구슬이 없어서 스킬을 쓸 수 없음' 로그만 뜬다</t>
        </is>
      </c>
      <c r="J7" s="19" t="inlineStr">
        <is>
          <t>P1</t>
        </is>
      </c>
      <c r="K7" s="15" t="inlineStr">
        <is>
          <t>N</t>
        </is>
      </c>
      <c r="L7" s="17" t="inlineStr"/>
      <c r="M7" s="15" t="inlineStr"/>
      <c r="N7" s="15" t="inlineStr"/>
      <c r="O7" s="15" t="inlineStr"/>
      <c r="P7" s="15" t="inlineStr"/>
      <c r="Q7" s="15" t="inlineStr"/>
      <c r="R7" s="17" t="inlineStr"/>
    </row>
    <row r="8" ht="48" customHeight="1">
      <c r="A8" s="15" t="inlineStr">
        <is>
          <t>TC-SKL-003</t>
        </is>
      </c>
      <c r="B8" s="15" t="inlineStr">
        <is>
          <t>전투-색스킬</t>
        </is>
      </c>
      <c r="C8" s="17" t="inlineStr">
        <is>
          <t>빨강 강타</t>
        </is>
      </c>
      <c r="D8" s="15" t="inlineStr">
        <is>
          <t>경계값</t>
        </is>
      </c>
      <c r="E8" s="17" t="inlineStr">
        <is>
          <t>쿨타임 중 재입력 무시</t>
        </is>
      </c>
      <c r="F8" s="17" t="inlineStr">
        <is>
          <t>직전에 강타 사용, 8초 이내</t>
        </is>
      </c>
      <c r="G8" s="17" t="inlineStr">
        <is>
          <t>경과시간&lt;8s</t>
        </is>
      </c>
      <c r="H8" s="17" t="inlineStr">
        <is>
          <t>키 1 재입력</t>
        </is>
      </c>
      <c r="I8" s="17" t="inlineStr">
        <is>
          <t>스킬이 발동하지 않고 구슬도 소모되지 않는다</t>
        </is>
      </c>
      <c r="J8" s="19" t="inlineStr">
        <is>
          <t>P1</t>
        </is>
      </c>
      <c r="K8" s="15" t="inlineStr">
        <is>
          <t>N</t>
        </is>
      </c>
      <c r="L8" s="17" t="inlineStr"/>
      <c r="M8" s="15" t="inlineStr"/>
      <c r="N8" s="15" t="inlineStr"/>
      <c r="O8" s="15" t="inlineStr"/>
      <c r="P8" s="15" t="inlineStr"/>
      <c r="Q8" s="15" t="inlineStr"/>
      <c r="R8" s="17" t="inlineStr"/>
    </row>
    <row r="9" ht="48" customHeight="1">
      <c r="A9" s="15" t="inlineStr">
        <is>
          <t>TC-SKL-004</t>
        </is>
      </c>
      <c r="B9" s="15" t="inlineStr">
        <is>
          <t>전투-색스킬</t>
        </is>
      </c>
      <c r="C9" s="17" t="inlineStr">
        <is>
          <t>파랑 흐름</t>
        </is>
      </c>
      <c r="D9" s="15" t="inlineStr">
        <is>
          <t>기능</t>
        </is>
      </c>
      <c r="E9" s="17" t="inlineStr">
        <is>
          <t>직선 관통으로 다중 적 타격</t>
        </is>
      </c>
      <c r="F9" s="17" t="inlineStr">
        <is>
          <t>적 여러 마리를 일렬로 배치</t>
        </is>
      </c>
      <c r="G9" s="17" t="inlineStr">
        <is>
          <t>파랑 구슬≥1</t>
        </is>
      </c>
      <c r="H9" s="17" t="inlineStr">
        <is>
          <t>파랑 구슬 보유 후 키 2</t>
        </is>
      </c>
      <c r="I9" s="17" t="inlineStr">
        <is>
          <t>일직선 박스 범위 안의 적 전부가 동시에 피해를 입는다</t>
        </is>
      </c>
      <c r="J9" s="19" t="inlineStr">
        <is>
          <t>P1</t>
        </is>
      </c>
      <c r="K9" s="15" t="inlineStr">
        <is>
          <t>N</t>
        </is>
      </c>
      <c r="L9" s="17" t="inlineStr"/>
      <c r="M9" s="15" t="inlineStr"/>
      <c r="N9" s="15" t="inlineStr"/>
      <c r="O9" s="15" t="inlineStr"/>
      <c r="P9" s="15" t="inlineStr"/>
      <c r="Q9" s="15" t="inlineStr"/>
      <c r="R9" s="17" t="inlineStr"/>
    </row>
    <row r="10" ht="48" customHeight="1">
      <c r="A10" s="15" t="inlineStr">
        <is>
          <t>TC-SKL-005</t>
        </is>
      </c>
      <c r="B10" s="15" t="inlineStr">
        <is>
          <t>전투-색스킬</t>
        </is>
      </c>
      <c r="C10" s="17" t="inlineStr">
        <is>
          <t>노랑 번쩍</t>
        </is>
      </c>
      <c r="D10" s="15" t="inlineStr">
        <is>
          <t>기능</t>
        </is>
      </c>
      <c r="E10" s="17" t="inlineStr">
        <is>
          <t>범위 피해 + 넉백</t>
        </is>
      </c>
      <c r="F10" s="17" t="inlineStr">
        <is>
          <t>적 여러 마리가 주변에 있음</t>
        </is>
      </c>
      <c r="G10" s="17" t="inlineStr">
        <is>
          <t>노랑 구슬≥1</t>
        </is>
      </c>
      <c r="H10" s="17" t="inlineStr">
        <is>
          <t>노랑 구슬 보유 후 키 3</t>
        </is>
      </c>
      <c r="I10" s="17" t="inlineStr">
        <is>
          <t>반경 내 적 전부 피해와 넉백을 받고, 플레이어 자신은 제외된다</t>
        </is>
      </c>
      <c r="J10" s="19" t="inlineStr">
        <is>
          <t>P1</t>
        </is>
      </c>
      <c r="K10" s="15" t="inlineStr">
        <is>
          <t>N</t>
        </is>
      </c>
      <c r="L10" s="17" t="inlineStr"/>
      <c r="M10" s="15" t="inlineStr"/>
      <c r="N10" s="15" t="inlineStr"/>
      <c r="O10" s="15" t="inlineStr"/>
      <c r="P10" s="15" t="inlineStr"/>
      <c r="Q10" s="15" t="inlineStr"/>
      <c r="R10" s="17" t="inlineStr"/>
    </row>
    <row r="11" ht="48" customHeight="1">
      <c r="A11" s="15" t="inlineStr">
        <is>
          <t>TC-SKL-006</t>
        </is>
      </c>
      <c r="B11" s="15" t="inlineStr">
        <is>
          <t>전투-색스킬</t>
        </is>
      </c>
      <c r="C11" s="17" t="inlineStr">
        <is>
          <t>조준 보정</t>
        </is>
      </c>
      <c r="D11" s="20" t="inlineStr">
        <is>
          <t>회귀</t>
        </is>
      </c>
      <c r="E11" s="17" t="inlineStr">
        <is>
          <t>락온 중이면 스킬이 타겟 방향으로 나간다</t>
        </is>
      </c>
      <c r="F11" s="17" t="inlineStr">
        <is>
          <t>적을 Tab으로 락온한 상태</t>
        </is>
      </c>
      <c r="G11" s="17" t="inlineStr">
        <is>
          <t>-</t>
        </is>
      </c>
      <c r="H11" s="17" t="inlineStr">
        <is>
          <t>락온 유지한 채 강타/흐름 시전</t>
        </is>
      </c>
      <c r="I11" s="17" t="inlineStr">
        <is>
          <t>transform.forward가 아니라 락온 타겟 방향으로 판정 중심이 잡힌다</t>
        </is>
      </c>
      <c r="J11" s="19" t="inlineStr">
        <is>
          <t>P1</t>
        </is>
      </c>
      <c r="K11" s="15" t="inlineStr">
        <is>
          <t>N</t>
        </is>
      </c>
      <c r="L11" s="17" t="inlineStr"/>
      <c r="M11" s="15" t="inlineStr"/>
      <c r="N11" s="15" t="inlineStr"/>
      <c r="O11" s="15" t="inlineStr"/>
      <c r="P11" s="15" t="inlineStr"/>
      <c r="Q11" s="15" t="inlineStr"/>
      <c r="R11" s="17" t="inlineStr">
        <is>
          <t>2026-09-02 스킬이 허공을 치는 버그</t>
        </is>
      </c>
    </row>
    <row r="12" ht="48" customHeight="1">
      <c r="A12" s="15" t="inlineStr">
        <is>
          <t>TC-DGE-001</t>
        </is>
      </c>
      <c r="B12" s="15" t="inlineStr">
        <is>
          <t>전투-회피</t>
        </is>
      </c>
      <c r="C12" s="17" t="inlineStr">
        <is>
          <t>구르기 Space</t>
        </is>
      </c>
      <c r="D12" s="15" t="inlineStr">
        <is>
          <t>경계값</t>
        </is>
      </c>
      <c r="E12" s="17" t="inlineStr">
        <is>
          <t>무적프레임 구간에서만 무적</t>
        </is>
      </c>
      <c r="F12" s="17" t="inlineStr">
        <is>
          <t>구르기 가능 상태</t>
        </is>
      </c>
      <c r="G12" s="17" t="inlineStr">
        <is>
          <t>0~3f/15~24f 구간 피격 유도</t>
        </is>
      </c>
      <c r="H12" s="17" t="inlineStr">
        <is>
          <t>구르기 시작 직후 Startup 0~3프레임과 Recovery 15~24프레임 구간에 피격 유도</t>
        </is>
      </c>
      <c r="I12" s="17" t="inlineStr">
        <is>
          <t>이 구간에서는 데미지를 입는다, 무적은 3~15프레임 i-frame 구간에서만 적용된다</t>
        </is>
      </c>
      <c r="J12" s="18" t="inlineStr">
        <is>
          <t>P0</t>
        </is>
      </c>
      <c r="K12" s="15" t="inlineStr">
        <is>
          <t>N</t>
        </is>
      </c>
      <c r="L12" s="17" t="inlineStr"/>
      <c r="M12" s="15" t="inlineStr"/>
      <c r="N12" s="15" t="inlineStr"/>
      <c r="O12" s="15" t="inlineStr"/>
      <c r="P12" s="15" t="inlineStr"/>
      <c r="Q12" s="15" t="inlineStr"/>
      <c r="R12" s="17" t="inlineStr"/>
    </row>
    <row r="13" ht="48" customHeight="1">
      <c r="A13" s="15" t="inlineStr">
        <is>
          <t>TC-DGE-002</t>
        </is>
      </c>
      <c r="B13" s="15" t="inlineStr">
        <is>
          <t>전투-회피</t>
        </is>
      </c>
      <c r="C13" s="17" t="inlineStr">
        <is>
          <t>구르기 Space</t>
        </is>
      </c>
      <c r="D13" s="15" t="inlineStr">
        <is>
          <t>경계값</t>
        </is>
      </c>
      <c r="E13" s="17" t="inlineStr">
        <is>
          <t>쿨타임 1초 적용</t>
        </is>
      </c>
      <c r="F13" s="17" t="inlineStr">
        <is>
          <t>직전 구르기 종료 직후</t>
        </is>
      </c>
      <c r="G13" s="17" t="inlineStr">
        <is>
          <t>경과&lt;1s</t>
        </is>
      </c>
      <c r="H13" s="17" t="inlineStr">
        <is>
          <t>1초 이내에 다시 Space 입력</t>
        </is>
      </c>
      <c r="I13" s="17" t="inlineStr">
        <is>
          <t>구르기가 발동하지 않는다</t>
        </is>
      </c>
      <c r="J13" s="19" t="inlineStr">
        <is>
          <t>P1</t>
        </is>
      </c>
      <c r="K13" s="15" t="inlineStr">
        <is>
          <t>N</t>
        </is>
      </c>
      <c r="L13" s="17" t="inlineStr"/>
      <c r="M13" s="15" t="inlineStr"/>
      <c r="N13" s="15" t="inlineStr"/>
      <c r="O13" s="15" t="inlineStr"/>
      <c r="P13" s="15" t="inlineStr"/>
      <c r="Q13" s="15" t="inlineStr"/>
      <c r="R13" s="17" t="inlineStr"/>
    </row>
    <row r="14" ht="48" customHeight="1">
      <c r="A14" s="15" t="inlineStr">
        <is>
          <t>TC-DGE-003</t>
        </is>
      </c>
      <c r="B14" s="15" t="inlineStr">
        <is>
          <t>전투-회피</t>
        </is>
      </c>
      <c r="C14" s="17" t="inlineStr">
        <is>
          <t>구르기 Space</t>
        </is>
      </c>
      <c r="D14" s="15" t="inlineStr">
        <is>
          <t>기능</t>
        </is>
      </c>
      <c r="E14" s="17" t="inlineStr">
        <is>
          <t>구르는 동안 주변 적을 밀어낸다</t>
        </is>
      </c>
      <c r="F14" s="17" t="inlineStr">
        <is>
          <t>흡 EnemyHeup이 회복 구역으로 도주 중</t>
        </is>
      </c>
      <c r="G14" s="17" t="inlineStr">
        <is>
          <t>-</t>
        </is>
      </c>
      <c r="H14" s="17" t="inlineStr">
        <is>
          <t>흡을 스치도록 구르기</t>
        </is>
      </c>
      <c r="I14" s="17" t="inlineStr">
        <is>
          <t>흡이 넉백되어 도주 경로가 저지된다</t>
        </is>
      </c>
      <c r="J14" s="19" t="inlineStr">
        <is>
          <t>P1</t>
        </is>
      </c>
      <c r="K14" s="15" t="inlineStr">
        <is>
          <t>N</t>
        </is>
      </c>
      <c r="L14" s="17" t="inlineStr"/>
      <c r="M14" s="15" t="inlineStr"/>
      <c r="N14" s="15" t="inlineStr"/>
      <c r="O14" s="15" t="inlineStr"/>
      <c r="P14" s="15" t="inlineStr"/>
      <c r="Q14" s="15" t="inlineStr"/>
      <c r="R14" s="17" t="inlineStr">
        <is>
          <t>QA 리뷰 SYS-4 대응 기능</t>
        </is>
      </c>
    </row>
    <row r="15" ht="48" customHeight="1">
      <c r="A15" s="15" t="inlineStr">
        <is>
          <t>TC-LOC-001</t>
        </is>
      </c>
      <c r="B15" s="15" t="inlineStr">
        <is>
          <t>전투-락온</t>
        </is>
      </c>
      <c r="C15" s="17" t="inlineStr">
        <is>
          <t>Tab 락온</t>
        </is>
      </c>
      <c r="D15" s="15" t="inlineStr">
        <is>
          <t>기능</t>
        </is>
      </c>
      <c r="E15" s="17" t="inlineStr">
        <is>
          <t>가장 가까운 적을 락온한다</t>
        </is>
      </c>
      <c r="F15" s="17" t="inlineStr">
        <is>
          <t>반경 lockOnRadius 내 적 2마리 이상</t>
        </is>
      </c>
      <c r="G15" s="17" t="inlineStr">
        <is>
          <t>-</t>
        </is>
      </c>
      <c r="H15" s="17" t="inlineStr">
        <is>
          <t>Tab 입력</t>
        </is>
      </c>
      <c r="I15" s="17" t="inlineStr">
        <is>
          <t>가장 가까운 적이 락온되고 화면에 마커가 뜬다</t>
        </is>
      </c>
      <c r="J15" s="19" t="inlineStr">
        <is>
          <t>P1</t>
        </is>
      </c>
      <c r="K15" s="15" t="inlineStr">
        <is>
          <t>N</t>
        </is>
      </c>
      <c r="L15" s="17" t="inlineStr"/>
      <c r="M15" s="15" t="inlineStr"/>
      <c r="N15" s="15" t="inlineStr"/>
      <c r="O15" s="15" t="inlineStr"/>
      <c r="P15" s="15" t="inlineStr"/>
      <c r="Q15" s="15" t="inlineStr"/>
      <c r="R15" s="17" t="inlineStr"/>
    </row>
    <row r="16" ht="48" customHeight="1">
      <c r="A16" s="15" t="inlineStr">
        <is>
          <t>TC-LOC-002</t>
        </is>
      </c>
      <c r="B16" s="15" t="inlineStr">
        <is>
          <t>전투-락온</t>
        </is>
      </c>
      <c r="C16" s="17" t="inlineStr">
        <is>
          <t>Tab 락온</t>
        </is>
      </c>
      <c r="D16" s="15" t="inlineStr">
        <is>
          <t>기능</t>
        </is>
      </c>
      <c r="E16" s="17" t="inlineStr">
        <is>
          <t>재입력 시 다른 타겟으로 순환</t>
        </is>
      </c>
      <c r="F16" s="17" t="inlineStr">
        <is>
          <t>이미 한 적을 락온 중, 근처에 다른 적도 있음</t>
        </is>
      </c>
      <c r="G16" s="17" t="inlineStr">
        <is>
          <t>쿨다운 10f 경과</t>
        </is>
      </c>
      <c r="H16" s="17" t="inlineStr">
        <is>
          <t>쿨다운 지난 뒤 Tab 재입력</t>
        </is>
      </c>
      <c r="I16" s="17" t="inlineStr">
        <is>
          <t>락온 대상이 다음 후보로 바뀐다</t>
        </is>
      </c>
      <c r="J16" s="21" t="inlineStr">
        <is>
          <t>P2</t>
        </is>
      </c>
      <c r="K16" s="15" t="inlineStr">
        <is>
          <t>N</t>
        </is>
      </c>
      <c r="L16" s="17" t="inlineStr"/>
      <c r="M16" s="15" t="inlineStr"/>
      <c r="N16" s="15" t="inlineStr"/>
      <c r="O16" s="15" t="inlineStr"/>
      <c r="P16" s="15" t="inlineStr"/>
      <c r="Q16" s="15" t="inlineStr"/>
      <c r="R16" s="17" t="inlineStr"/>
    </row>
    <row r="17" ht="48" customHeight="1">
      <c r="A17" s="15" t="inlineStr">
        <is>
          <t>TC-LOC-003</t>
        </is>
      </c>
      <c r="B17" s="15" t="inlineStr">
        <is>
          <t>전투-락온</t>
        </is>
      </c>
      <c r="C17" s="17" t="inlineStr">
        <is>
          <t>Tab 락온</t>
        </is>
      </c>
      <c r="D17" s="15" t="inlineStr">
        <is>
          <t>기능</t>
        </is>
      </c>
      <c r="E17" s="17" t="inlineStr">
        <is>
          <t>타겟 사망 시 자동 해제</t>
        </is>
      </c>
      <c r="F17" s="17" t="inlineStr">
        <is>
          <t>적을 락온한 상태</t>
        </is>
      </c>
      <c r="G17" s="17" t="inlineStr">
        <is>
          <t>-</t>
        </is>
      </c>
      <c r="H17" s="17" t="inlineStr">
        <is>
          <t>락온 대상을 처치</t>
        </is>
      </c>
      <c r="I17" s="17" t="inlineStr">
        <is>
          <t>락온이 자동으로 풀리고 마커가 사라진다</t>
        </is>
      </c>
      <c r="J17" s="19" t="inlineStr">
        <is>
          <t>P1</t>
        </is>
      </c>
      <c r="K17" s="15" t="inlineStr">
        <is>
          <t>N</t>
        </is>
      </c>
      <c r="L17" s="17" t="inlineStr"/>
      <c r="M17" s="15" t="inlineStr"/>
      <c r="N17" s="15" t="inlineStr"/>
      <c r="O17" s="15" t="inlineStr"/>
      <c r="P17" s="15" t="inlineStr"/>
      <c r="Q17" s="15" t="inlineStr"/>
      <c r="R17" s="17" t="inlineStr"/>
    </row>
    <row r="18" ht="48" customHeight="1">
      <c r="A18" s="15" t="inlineStr">
        <is>
          <t>TC-LOC-004</t>
        </is>
      </c>
      <c r="B18" s="15" t="inlineStr">
        <is>
          <t>전투-락온</t>
        </is>
      </c>
      <c r="C18" s="17" t="inlineStr">
        <is>
          <t>Tab 락온</t>
        </is>
      </c>
      <c r="D18" s="15" t="inlineStr">
        <is>
          <t>예외처리</t>
        </is>
      </c>
      <c r="E18" s="17" t="inlineStr">
        <is>
          <t>죽은 보스는 락온되지 않는다</t>
        </is>
      </c>
      <c r="F18" s="17" t="inlineStr">
        <is>
          <t>보스를 처치해서 IsDead=true, 오브젝트는 남아있음</t>
        </is>
      </c>
      <c r="G18" s="17" t="inlineStr">
        <is>
          <t>-</t>
        </is>
      </c>
      <c r="H18" s="17" t="inlineStr">
        <is>
          <t>Tab으로 재탐색</t>
        </is>
      </c>
      <c r="I18" s="17" t="inlineStr">
        <is>
          <t>죽은 보스가 후보에서 제외된다</t>
        </is>
      </c>
      <c r="J18" s="19" t="inlineStr">
        <is>
          <t>P1</t>
        </is>
      </c>
      <c r="K18" s="15" t="inlineStr">
        <is>
          <t>N</t>
        </is>
      </c>
      <c r="L18" s="17" t="inlineStr"/>
      <c r="M18" s="15" t="inlineStr"/>
      <c r="N18" s="15" t="inlineStr"/>
      <c r="O18" s="15" t="inlineStr"/>
      <c r="P18" s="15" t="inlineStr"/>
      <c r="Q18" s="15" t="inlineStr"/>
      <c r="R18" s="17" t="inlineStr"/>
    </row>
    <row r="19" ht="48" customHeight="1">
      <c r="A19" s="15" t="inlineStr">
        <is>
          <t>TC-AIP-001</t>
        </is>
      </c>
      <c r="B19" s="15" t="inlineStr">
        <is>
          <t>몹AI-평</t>
        </is>
      </c>
      <c r="C19" s="17" t="inlineStr">
        <is>
          <t>추격/공격</t>
        </is>
      </c>
      <c r="D19" s="15" t="inlineStr">
        <is>
          <t>기능</t>
        </is>
      </c>
      <c r="E19" s="17" t="inlineStr">
        <is>
          <t>시야 진입 시 추격, 사거리 진입 시 공격</t>
        </is>
      </c>
      <c r="F19" s="17" t="inlineStr">
        <is>
          <t>평 1마리, 플레이어가 sightRadius 밖에서 접근</t>
        </is>
      </c>
      <c r="G19" s="17" t="inlineStr">
        <is>
          <t>-</t>
        </is>
      </c>
      <c r="H19" s="17" t="inlineStr">
        <is>
          <t>플레이어가 시야→사거리 순으로 진입</t>
        </is>
      </c>
      <c r="I19" s="17" t="inlineStr">
        <is>
          <t>추격 시작 → 사거리 도달 시 Windup, 피해가 발생하는 Active, Recovery 순으로 진행</t>
        </is>
      </c>
      <c r="J19" s="18" t="inlineStr">
        <is>
          <t>P0</t>
        </is>
      </c>
      <c r="K19" s="15" t="inlineStr">
        <is>
          <t>N</t>
        </is>
      </c>
      <c r="L19" s="17" t="inlineStr"/>
      <c r="M19" s="15" t="inlineStr"/>
      <c r="N19" s="15" t="inlineStr"/>
      <c r="O19" s="15" t="inlineStr"/>
      <c r="P19" s="15" t="inlineStr"/>
      <c r="Q19" s="15" t="inlineStr"/>
      <c r="R19" s="17" t="inlineStr"/>
    </row>
    <row r="20" ht="48" customHeight="1">
      <c r="A20" s="15" t="inlineStr">
        <is>
          <t>TC-AIP-002</t>
        </is>
      </c>
      <c r="B20" s="15" t="inlineStr">
        <is>
          <t>몹AI-평</t>
        </is>
      </c>
      <c r="C20" s="17" t="inlineStr">
        <is>
          <t>넉백</t>
        </is>
      </c>
      <c r="D20" s="15" t="inlineStr">
        <is>
          <t>기능</t>
        </is>
      </c>
      <c r="E20" s="17" t="inlineStr">
        <is>
          <t>넉백 종료 후 공격 상태 리셋</t>
        </is>
      </c>
      <c r="F20" s="17" t="inlineStr">
        <is>
          <t>평이 공격 Windup/Active 중</t>
        </is>
      </c>
      <c r="G20" s="17" t="inlineStr">
        <is>
          <t>-</t>
        </is>
      </c>
      <c r="H20" s="17" t="inlineStr">
        <is>
          <t>그 순간 넉백 적용</t>
        </is>
      </c>
      <c r="I20" s="17" t="inlineStr">
        <is>
          <t>넉백 종료 후 Chase/Idle 상태로 돌아가며 이전 공격이 이어지지 않는다</t>
        </is>
      </c>
      <c r="J20" s="19" t="inlineStr">
        <is>
          <t>P1</t>
        </is>
      </c>
      <c r="K20" s="15" t="inlineStr">
        <is>
          <t>N</t>
        </is>
      </c>
      <c r="L20" s="17" t="inlineStr"/>
      <c r="M20" s="15" t="inlineStr"/>
      <c r="N20" s="15" t="inlineStr"/>
      <c r="O20" s="15" t="inlineStr"/>
      <c r="P20" s="15" t="inlineStr"/>
      <c r="Q20" s="15" t="inlineStr"/>
      <c r="R20" s="17" t="inlineStr"/>
    </row>
    <row r="21" ht="48" customHeight="1">
      <c r="A21" s="15" t="inlineStr">
        <is>
          <t>TC-AIW-001</t>
        </is>
      </c>
      <c r="B21" s="15" t="inlineStr">
        <is>
          <t>몹AI-원</t>
        </is>
      </c>
      <c r="C21" s="17" t="inlineStr">
        <is>
          <t>사거리 유지</t>
        </is>
      </c>
      <c r="D21" s="15" t="inlineStr">
        <is>
          <t>기능</t>
        </is>
      </c>
      <c r="E21" s="17" t="inlineStr">
        <is>
          <t>사거리 2~5m 안이면 투척, 너무 가까우면 후퇴</t>
        </is>
      </c>
      <c r="F21" s="17" t="inlineStr">
        <is>
          <t>원 1마리, 플레이어 접근</t>
        </is>
      </c>
      <c r="G21" s="17" t="inlineStr">
        <is>
          <t>-</t>
        </is>
      </c>
      <c r="H21" s="17" t="inlineStr">
        <is>
          <t>플레이어가 원에게 점점 다가간다</t>
        </is>
      </c>
      <c r="I21" s="17" t="inlineStr">
        <is>
          <t>5m 이내 진입 시 투척 시작, 1.5m 이내로 붙으면 후퇴로 전환</t>
        </is>
      </c>
      <c r="J21" s="18" t="inlineStr">
        <is>
          <t>P0</t>
        </is>
      </c>
      <c r="K21" s="15" t="inlineStr">
        <is>
          <t>N</t>
        </is>
      </c>
      <c r="L21" s="17" t="inlineStr"/>
      <c r="M21" s="15" t="inlineStr"/>
      <c r="N21" s="15" t="inlineStr"/>
      <c r="O21" s="15" t="inlineStr"/>
      <c r="P21" s="15" t="inlineStr"/>
      <c r="Q21" s="15" t="inlineStr"/>
      <c r="R21" s="17" t="inlineStr"/>
    </row>
    <row r="22" ht="48" customHeight="1">
      <c r="A22" s="15" t="inlineStr">
        <is>
          <t>TC-AIW-002</t>
        </is>
      </c>
      <c r="B22" s="15" t="inlineStr">
        <is>
          <t>몹AI-원</t>
        </is>
      </c>
      <c r="C22" s="17" t="inlineStr">
        <is>
          <t>투사체</t>
        </is>
      </c>
      <c r="D22" s="15" t="inlineStr">
        <is>
          <t>기능</t>
        </is>
      </c>
      <c r="E22" s="17" t="inlineStr">
        <is>
          <t>먹물 투사체 명중 시 피해</t>
        </is>
      </c>
      <c r="F22" s="17" t="inlineStr">
        <is>
          <t>원이 투척 상태</t>
        </is>
      </c>
      <c r="G22" s="17" t="inlineStr">
        <is>
          <t>-</t>
        </is>
      </c>
      <c r="H22" s="17" t="inlineStr">
        <is>
          <t>투사체가 플레이어에 명중</t>
        </is>
      </c>
      <c r="I22" s="17" t="inlineStr">
        <is>
          <t>플레이어 HP가 attackPower만큼 감소</t>
        </is>
      </c>
      <c r="J22" s="19" t="inlineStr">
        <is>
          <t>P1</t>
        </is>
      </c>
      <c r="K22" s="15" t="inlineStr">
        <is>
          <t>N</t>
        </is>
      </c>
      <c r="L22" s="17" t="inlineStr"/>
      <c r="M22" s="15" t="inlineStr"/>
      <c r="N22" s="15" t="inlineStr"/>
      <c r="O22" s="15" t="inlineStr"/>
      <c r="P22" s="15" t="inlineStr"/>
      <c r="Q22" s="15" t="inlineStr"/>
      <c r="R22" s="17" t="inlineStr"/>
    </row>
    <row r="23" ht="48" customHeight="1">
      <c r="A23" s="15" t="inlineStr">
        <is>
          <t>TC-AIH-001</t>
        </is>
      </c>
      <c r="B23" s="15" t="inlineStr">
        <is>
          <t>몹AI-흡</t>
        </is>
      </c>
      <c r="C23" s="17" t="inlineStr">
        <is>
          <t>회복 행동</t>
        </is>
      </c>
      <c r="D23" s="15" t="inlineStr">
        <is>
          <t>기능</t>
        </is>
      </c>
      <c r="E23" s="17" t="inlineStr">
        <is>
          <t>HP 50% 밑에서 회복구역으로 이동 후 흡수</t>
        </is>
      </c>
      <c r="F23" s="17" t="inlineStr">
        <is>
          <t>흡 HP를 50% 밑으로 감소</t>
        </is>
      </c>
      <c r="G23" s="17" t="inlineStr">
        <is>
          <t>lowHpThreshold=0.5</t>
        </is>
      </c>
      <c r="H23" s="17" t="inlineStr">
        <is>
          <t>행동 관찰</t>
        </is>
      </c>
      <c r="I23" s="17" t="inlineStr">
        <is>
          <t>가장 가까운 색 복원 구역으로 이동, 도달하면 초당 healPerSecond로 회복</t>
        </is>
      </c>
      <c r="J23" s="18" t="inlineStr">
        <is>
          <t>P0</t>
        </is>
      </c>
      <c r="K23" s="15" t="inlineStr">
        <is>
          <t>N</t>
        </is>
      </c>
      <c r="L23" s="17" t="inlineStr"/>
      <c r="M23" s="15" t="inlineStr"/>
      <c r="N23" s="15" t="inlineStr"/>
      <c r="O23" s="15" t="inlineStr"/>
      <c r="P23" s="15" t="inlineStr"/>
      <c r="Q23" s="15" t="inlineStr"/>
      <c r="R23" s="17" t="inlineStr"/>
    </row>
    <row r="24" ht="48" customHeight="1">
      <c r="A24" s="15" t="inlineStr">
        <is>
          <t>TC-AIH-002</t>
        </is>
      </c>
      <c r="B24" s="15" t="inlineStr">
        <is>
          <t>몹AI-흡</t>
        </is>
      </c>
      <c r="C24" s="17" t="inlineStr">
        <is>
          <t>회복 히스테리시스</t>
        </is>
      </c>
      <c r="D24" s="20" t="inlineStr">
        <is>
          <t>회귀</t>
        </is>
      </c>
      <c r="E24" s="17" t="inlineStr">
        <is>
          <t>회복 시작 후 100% 찰 때까지 멈추지 않는다</t>
        </is>
      </c>
      <c r="F24" s="17" t="inlineStr">
        <is>
          <t>흡이 회복 중, HP가 50% 살짝 넘김</t>
        </is>
      </c>
      <c r="G24" s="17" t="inlineStr">
        <is>
          <t>-</t>
        </is>
      </c>
      <c r="H24" s="17" t="inlineStr">
        <is>
          <t>회복 지속 관찰</t>
        </is>
      </c>
      <c r="I24" s="17" t="inlineStr">
        <is>
          <t>50%를 넘어도 회복을 멈추지 않고 100%까지 계속한다</t>
        </is>
      </c>
      <c r="J24" s="19" t="inlineStr">
        <is>
          <t>P1</t>
        </is>
      </c>
      <c r="K24" s="15" t="inlineStr">
        <is>
          <t>N</t>
        </is>
      </c>
      <c r="L24" s="17" t="inlineStr"/>
      <c r="M24" s="15" t="inlineStr"/>
      <c r="N24" s="15" t="inlineStr"/>
      <c r="O24" s="15" t="inlineStr"/>
      <c r="P24" s="15" t="inlineStr"/>
      <c r="Q24" s="15" t="inlineStr"/>
      <c r="R24" s="17" t="inlineStr">
        <is>
          <t>2026-08-20 '왜 절반까지만 회복하냐' 피드백 대응</t>
        </is>
      </c>
    </row>
    <row r="25" ht="48" customHeight="1">
      <c r="A25" s="15" t="inlineStr">
        <is>
          <t>TC-AIH-003</t>
        </is>
      </c>
      <c r="B25" s="15" t="inlineStr">
        <is>
          <t>몹AI-흡</t>
        </is>
      </c>
      <c r="C25" s="17" t="inlineStr">
        <is>
          <t>비공격 확인</t>
        </is>
      </c>
      <c r="D25" s="15" t="inlineStr">
        <is>
          <t>기능</t>
        </is>
      </c>
      <c r="E25" s="17" t="inlineStr">
        <is>
          <t>흡은 플레이어를 절대 공격하지 않는다</t>
        </is>
      </c>
      <c r="F25" s="17" t="inlineStr">
        <is>
          <t>흡과 플레이어가 근접</t>
        </is>
      </c>
      <c r="G25" s="17" t="inlineStr">
        <is>
          <t>-</t>
        </is>
      </c>
      <c r="H25" s="17" t="inlineStr">
        <is>
          <t>장시간 관찰</t>
        </is>
      </c>
      <c r="I25" s="17" t="inlineStr">
        <is>
          <t>HP 상태와 무관하게 공격 판정이 한 번도 발생하지 않는다</t>
        </is>
      </c>
      <c r="J25" s="19" t="inlineStr">
        <is>
          <t>P1</t>
        </is>
      </c>
      <c r="K25" s="15" t="inlineStr">
        <is>
          <t>N</t>
        </is>
      </c>
      <c r="L25" s="17" t="inlineStr"/>
      <c r="M25" s="15" t="inlineStr"/>
      <c r="N25" s="15" t="inlineStr"/>
      <c r="O25" s="15" t="inlineStr"/>
      <c r="P25" s="15" t="inlineStr"/>
      <c r="Q25" s="15" t="inlineStr"/>
      <c r="R25" s="17" t="inlineStr"/>
    </row>
    <row r="26" ht="48" customHeight="1">
      <c r="A26" s="15" t="inlineStr">
        <is>
          <t>TC-AIB-001</t>
        </is>
      </c>
      <c r="B26" s="15" t="inlineStr">
        <is>
          <t>몹AI-분</t>
        </is>
      </c>
      <c r="C26" s="17" t="inlineStr">
        <is>
          <t>분열</t>
        </is>
      </c>
      <c r="D26" s="15" t="inlineStr">
        <is>
          <t>기능</t>
        </is>
      </c>
      <c r="E26" s="17" t="inlineStr">
        <is>
          <t>사망 시 미니언 2마리로 분열</t>
        </is>
      </c>
      <c r="F26" s="17" t="inlineStr">
        <is>
          <t>분열 전 원본 1마리</t>
        </is>
      </c>
      <c r="G26" s="17" t="inlineStr">
        <is>
          <t>-</t>
        </is>
      </c>
      <c r="H26" s="17" t="inlineStr">
        <is>
          <t>분을 처치</t>
        </is>
      </c>
      <c r="I26" s="17" t="inlineStr">
        <is>
          <t>체력 50%·크기 60%인 미니언 2마리가 근처에 생성된다</t>
        </is>
      </c>
      <c r="J26" s="18" t="inlineStr">
        <is>
          <t>P0</t>
        </is>
      </c>
      <c r="K26" s="15" t="inlineStr">
        <is>
          <t>N</t>
        </is>
      </c>
      <c r="L26" s="17" t="inlineStr"/>
      <c r="M26" s="15" t="inlineStr"/>
      <c r="N26" s="15" t="inlineStr"/>
      <c r="O26" s="15" t="inlineStr"/>
      <c r="P26" s="15" t="inlineStr"/>
      <c r="Q26" s="15" t="inlineStr"/>
      <c r="R26" s="17" t="inlineStr"/>
    </row>
    <row r="27" ht="48" customHeight="1">
      <c r="A27" s="15" t="inlineStr">
        <is>
          <t>TC-AIB-002</t>
        </is>
      </c>
      <c r="B27" s="15" t="inlineStr">
        <is>
          <t>몹AI-분</t>
        </is>
      </c>
      <c r="C27" s="17" t="inlineStr">
        <is>
          <t>분열</t>
        </is>
      </c>
      <c r="D27" s="15" t="inlineStr">
        <is>
          <t>경계값</t>
        </is>
      </c>
      <c r="E27" s="17" t="inlineStr">
        <is>
          <t>미니언은 재분열하지 않는다</t>
        </is>
      </c>
      <c r="F27" s="17" t="inlineStr">
        <is>
          <t>분열로 생성된 미니언</t>
        </is>
      </c>
      <c r="G27" s="17" t="inlineStr">
        <is>
          <t>isMinor=true</t>
        </is>
      </c>
      <c r="H27" s="17" t="inlineStr">
        <is>
          <t>미니언을 처치</t>
        </is>
      </c>
      <c r="I27" s="17" t="inlineStr">
        <is>
          <t>추가 미니언이 생성되지 않아 무한 분열을 방지한다</t>
        </is>
      </c>
      <c r="J27" s="19" t="inlineStr">
        <is>
          <t>P1</t>
        </is>
      </c>
      <c r="K27" s="15" t="inlineStr">
        <is>
          <t>N</t>
        </is>
      </c>
      <c r="L27" s="17" t="inlineStr"/>
      <c r="M27" s="15" t="inlineStr"/>
      <c r="N27" s="15" t="inlineStr"/>
      <c r="O27" s="15" t="inlineStr"/>
      <c r="P27" s="15" t="inlineStr"/>
      <c r="Q27" s="15" t="inlineStr"/>
      <c r="R27" s="17" t="inlineStr"/>
    </row>
    <row r="28" ht="48" customHeight="1">
      <c r="A28" s="15" t="inlineStr">
        <is>
          <t>TC-AIG-001</t>
        </is>
      </c>
      <c r="B28" s="15" t="inlineStr">
        <is>
          <t>몹AI-광</t>
        </is>
      </c>
      <c r="C28" s="17" t="inlineStr">
        <is>
          <t>쿨다운 공격</t>
        </is>
      </c>
      <c r="D28" s="15" t="inlineStr">
        <is>
          <t>기능</t>
        </is>
      </c>
      <c r="E28" s="17" t="inlineStr">
        <is>
          <t>쿨다운이 차면 사거리 무관 AOE 공격</t>
        </is>
      </c>
      <c r="F28" s="17" t="inlineStr">
        <is>
          <t>광 1마리, 플레이어 시야 안</t>
        </is>
      </c>
      <c r="G28" s="17" t="inlineStr">
        <is>
          <t>-</t>
        </is>
      </c>
      <c r="H28" s="17" t="inlineStr">
        <is>
          <t>쿨다운 도달까지 대기</t>
        </is>
      </c>
      <c r="I28" s="17" t="inlineStr">
        <is>
          <t>그 자리에 멈춰 경고 인디케이터 표시 후 AOE 피해 발생</t>
        </is>
      </c>
      <c r="J28" s="18" t="inlineStr">
        <is>
          <t>P0</t>
        </is>
      </c>
      <c r="K28" s="15" t="inlineStr">
        <is>
          <t>N</t>
        </is>
      </c>
      <c r="L28" s="17" t="inlineStr"/>
      <c r="M28" s="15" t="inlineStr"/>
      <c r="N28" s="15" t="inlineStr"/>
      <c r="O28" s="15" t="inlineStr"/>
      <c r="P28" s="15" t="inlineStr"/>
      <c r="Q28" s="15" t="inlineStr"/>
      <c r="R28" s="17" t="inlineStr"/>
    </row>
    <row r="29" ht="48" customHeight="1">
      <c r="A29" s="15" t="inlineStr">
        <is>
          <t>TC-AIG-002</t>
        </is>
      </c>
      <c r="B29" s="15" t="inlineStr">
        <is>
          <t>몹AI-광</t>
        </is>
      </c>
      <c r="C29" s="17" t="inlineStr">
        <is>
          <t>넉백 취소</t>
        </is>
      </c>
      <c r="D29" s="15" t="inlineStr">
        <is>
          <t>기능</t>
        </is>
      </c>
      <c r="E29" s="17" t="inlineStr">
        <is>
          <t>공격 준비 중 넉백당하면 경고 인디케이터도 같이 사라진다</t>
        </is>
      </c>
      <c r="F29" s="17" t="inlineStr">
        <is>
          <t>광이 AOE Windup 중이라 경고 인디케이터가 표시된 상태</t>
        </is>
      </c>
      <c r="G29" s="17" t="inlineStr">
        <is>
          <t>-</t>
        </is>
      </c>
      <c r="H29" s="17" t="inlineStr">
        <is>
          <t>그 순간 넉백 적용</t>
        </is>
      </c>
      <c r="I29" s="17" t="inlineStr">
        <is>
          <t>경고 인디케이터가 즉시 사라지고 공격이 취소된다</t>
        </is>
      </c>
      <c r="J29" s="21" t="inlineStr">
        <is>
          <t>P2</t>
        </is>
      </c>
      <c r="K29" s="15" t="inlineStr">
        <is>
          <t>N</t>
        </is>
      </c>
      <c r="L29" s="17" t="inlineStr"/>
      <c r="M29" s="15" t="inlineStr"/>
      <c r="N29" s="15" t="inlineStr"/>
      <c r="O29" s="15" t="inlineStr"/>
      <c r="P29" s="15" t="inlineStr"/>
      <c r="Q29" s="15" t="inlineStr"/>
      <c r="R29" s="17" t="inlineStr"/>
    </row>
    <row r="30" ht="48" customHeight="1">
      <c r="A30" s="15" t="inlineStr">
        <is>
          <t>TC-AIC-001</t>
        </is>
      </c>
      <c r="B30" s="15" t="inlineStr">
        <is>
          <t>몹AI-공통</t>
        </is>
      </c>
      <c r="C30" s="17" t="inlineStr">
        <is>
          <t>넉백 EnemyBase</t>
        </is>
      </c>
      <c r="D30" s="15" t="inlineStr">
        <is>
          <t>기능</t>
        </is>
      </c>
      <c r="E30" s="17" t="inlineStr">
        <is>
          <t>넉백 중에는 AI 로직이 정지한다</t>
        </is>
      </c>
      <c r="F30" s="17" t="inlineStr">
        <is>
          <t>임의의 몹 1종</t>
        </is>
      </c>
      <c r="G30" s="17" t="inlineStr">
        <is>
          <t>-</t>
        </is>
      </c>
      <c r="H30" s="17" t="inlineStr">
        <is>
          <t>넉백 적용</t>
        </is>
      </c>
      <c r="I30" s="17" t="inlineStr">
        <is>
          <t>넉백 지속 시간 0.25초 동안 추격/공격 로직이 멈추고 물리적으로만 밀려난다</t>
        </is>
      </c>
      <c r="J30" s="18" t="inlineStr">
        <is>
          <t>P0</t>
        </is>
      </c>
      <c r="K30" s="15" t="inlineStr">
        <is>
          <t>N</t>
        </is>
      </c>
      <c r="L30" s="17" t="inlineStr"/>
      <c r="M30" s="15" t="inlineStr"/>
      <c r="N30" s="15" t="inlineStr"/>
      <c r="O30" s="15" t="inlineStr"/>
      <c r="P30" s="15" t="inlineStr"/>
      <c r="Q30" s="15" t="inlineStr"/>
      <c r="R30" s="17" t="inlineStr">
        <is>
          <t>EnemyBase 리팩토링 2026-09-07 검증 항목</t>
        </is>
      </c>
    </row>
    <row r="31" ht="48" customHeight="1">
      <c r="A31" s="15" t="inlineStr">
        <is>
          <t>TC-AIC-002</t>
        </is>
      </c>
      <c r="B31" s="15" t="inlineStr">
        <is>
          <t>몹AI-공통</t>
        </is>
      </c>
      <c r="C31" s="17" t="inlineStr">
        <is>
          <t>넉백 EnemyBase</t>
        </is>
      </c>
      <c r="D31" s="15" t="inlineStr">
        <is>
          <t>기능</t>
        </is>
      </c>
      <c r="E31" s="17" t="inlineStr">
        <is>
          <t>넉백 종료 후 NavMesh 위로 복귀</t>
        </is>
      </c>
      <c r="F31" s="17" t="inlineStr">
        <is>
          <t>몹이 NavMeshAgent로 이동 중, 넉백 적용</t>
        </is>
      </c>
      <c r="G31" s="17" t="inlineStr">
        <is>
          <t>-</t>
        </is>
      </c>
      <c r="H31" s="17" t="inlineStr">
        <is>
          <t>넉백 종료 관찰</t>
        </is>
      </c>
      <c r="I31" s="17" t="inlineStr">
        <is>
          <t>agent가 다시 활성화되고 NavMesh 위 유효한 위치로 재동기화되어, 허공에 뜨거나 밀리는 문제가 없다</t>
        </is>
      </c>
      <c r="J31" s="19" t="inlineStr">
        <is>
          <t>P1</t>
        </is>
      </c>
      <c r="K31" s="15" t="inlineStr">
        <is>
          <t>N</t>
        </is>
      </c>
      <c r="L31" s="17" t="inlineStr"/>
      <c r="M31" s="15" t="inlineStr"/>
      <c r="N31" s="15" t="inlineStr"/>
      <c r="O31" s="15" t="inlineStr"/>
      <c r="P31" s="15" t="inlineStr"/>
      <c r="Q31" s="15" t="inlineStr"/>
      <c r="R31" s="17" t="inlineStr"/>
    </row>
    <row r="32" ht="48" customHeight="1">
      <c r="A32" s="15" t="inlineStr">
        <is>
          <t>TC-BOSS-001</t>
        </is>
      </c>
      <c r="B32" s="15" t="inlineStr">
        <is>
          <t>보스전</t>
        </is>
      </c>
      <c r="C32" s="17" t="inlineStr">
        <is>
          <t>공격 패턴</t>
        </is>
      </c>
      <c r="D32" s="15" t="inlineStr">
        <is>
          <t>기능</t>
        </is>
      </c>
      <c r="E32" s="17" t="inlineStr">
        <is>
          <t>1페이즈 6종 공격이 전부 정상 동작</t>
        </is>
      </c>
      <c r="F32" s="17" t="inlineStr">
        <is>
          <t>보스룸, 1페이즈</t>
        </is>
      </c>
      <c r="G32" s="17" t="inlineStr">
        <is>
          <t>-</t>
        </is>
      </c>
      <c r="H32" s="17" t="inlineStr">
        <is>
          <t>장시간 교전하며 강타/흐름/번쩍/되살림/왜곡/먹물 전부 유도</t>
        </is>
      </c>
      <c r="I32" s="17" t="inlineStr">
        <is>
          <t>6종 공격 각각 텔레그래프→판정이 기획대로 나간다</t>
        </is>
      </c>
      <c r="J32" s="18" t="inlineStr">
        <is>
          <t>P0</t>
        </is>
      </c>
      <c r="K32" s="15" t="inlineStr">
        <is>
          <t>N</t>
        </is>
      </c>
      <c r="L32" s="17" t="inlineStr"/>
      <c r="M32" s="15" t="inlineStr"/>
      <c r="N32" s="15" t="inlineStr"/>
      <c r="O32" s="15" t="inlineStr"/>
      <c r="P32" s="15" t="inlineStr"/>
      <c r="Q32" s="15" t="inlineStr"/>
      <c r="R32" s="17" t="inlineStr"/>
    </row>
    <row r="33" ht="48" customHeight="1">
      <c r="A33" s="15" t="inlineStr">
        <is>
          <t>TC-BOSS-002</t>
        </is>
      </c>
      <c r="B33" s="15" t="inlineStr">
        <is>
          <t>보스전</t>
        </is>
      </c>
      <c r="C33" s="17" t="inlineStr">
        <is>
          <t>페이즈 전환</t>
        </is>
      </c>
      <c r="D33" s="15" t="inlineStr">
        <is>
          <t>기능</t>
        </is>
      </c>
      <c r="E33" s="17" t="inlineStr">
        <is>
          <t>HP 50% 밑에서 2페이즈 전환 + 무적 위치교란</t>
        </is>
      </c>
      <c r="F33" s="17" t="inlineStr">
        <is>
          <t>보스 HP를 50% 밑으로 감소</t>
        </is>
      </c>
      <c r="G33" s="17" t="inlineStr">
        <is>
          <t>phase2Threshold=0.5</t>
        </is>
      </c>
      <c r="H33" s="17" t="inlineStr">
        <is>
          <t>전환 순간 관찰</t>
        </is>
      </c>
      <c r="I33" s="17" t="inlineStr">
        <is>
          <t>즉시 무적 상태가 되어 위치교란 순간이동을 강제 시전하고, 끝나면 무적 해제</t>
        </is>
      </c>
      <c r="J33" s="18" t="inlineStr">
        <is>
          <t>P0</t>
        </is>
      </c>
      <c r="K33" s="15" t="inlineStr">
        <is>
          <t>N</t>
        </is>
      </c>
      <c r="L33" s="17" t="inlineStr"/>
      <c r="M33" s="15" t="inlineStr"/>
      <c r="N33" s="15" t="inlineStr"/>
      <c r="O33" s="15" t="inlineStr"/>
      <c r="P33" s="15" t="inlineStr"/>
      <c r="Q33" s="15" t="inlineStr"/>
      <c r="R33" s="17" t="inlineStr"/>
    </row>
    <row r="34" ht="48" customHeight="1">
      <c r="A34" s="15" t="inlineStr">
        <is>
          <t>TC-BOSS-003</t>
        </is>
      </c>
      <c r="B34" s="15" t="inlineStr">
        <is>
          <t>보스전</t>
        </is>
      </c>
      <c r="C34" s="17" t="inlineStr">
        <is>
          <t>위치교란</t>
        </is>
      </c>
      <c r="D34" s="20" t="inlineStr">
        <is>
          <t>회귀</t>
        </is>
      </c>
      <c r="E34" s="17" t="inlineStr">
        <is>
          <t>위치교란 후 보스가 방 밖으로 나가지 않는다</t>
        </is>
      </c>
      <c r="F34" s="17" t="inlineStr">
        <is>
          <t>2페이즈, 위치교란 유도</t>
        </is>
      </c>
      <c r="G34" s="17" t="inlineStr">
        <is>
          <t>displaceRadius=8, 방 half-extent=4.3</t>
        </is>
      </c>
      <c r="H34" s="17" t="inlineStr">
        <is>
          <t>여러 번 반복 시전</t>
        </is>
      </c>
      <c r="I34" s="17" t="inlineStr">
        <is>
          <t>이동 결과 좌표가 항상 방 안전 범위인 ±4.3m 안으로 clamp된다</t>
        </is>
      </c>
      <c r="J34" s="18" t="inlineStr">
        <is>
          <t>P0</t>
        </is>
      </c>
      <c r="K34" s="15" t="inlineStr">
        <is>
          <t>N</t>
        </is>
      </c>
      <c r="L34" s="17" t="inlineStr"/>
      <c r="M34" s="15" t="inlineStr"/>
      <c r="N34" s="15" t="inlineStr"/>
      <c r="O34" s="15" t="inlineStr"/>
      <c r="P34" s="15" t="inlineStr"/>
      <c r="Q34" s="15" t="inlineStr"/>
      <c r="R34" s="17" t="inlineStr">
        <is>
          <t>2026-09-02 '보스가 맵 밖으로 떨어짐' 버그</t>
        </is>
      </c>
    </row>
    <row r="35" ht="48" customHeight="1">
      <c r="A35" s="15" t="inlineStr">
        <is>
          <t>TC-BOSS-004</t>
        </is>
      </c>
      <c r="B35" s="15" t="inlineStr">
        <is>
          <t>보스전</t>
        </is>
      </c>
      <c r="C35" s="17" t="inlineStr">
        <is>
          <t>사망 처리</t>
        </is>
      </c>
      <c r="D35" s="20" t="inlineStr">
        <is>
          <t>회귀</t>
        </is>
      </c>
      <c r="E35" s="17" t="inlineStr">
        <is>
          <t>보스 사망 시 진행 중이던 공격이 취소된다</t>
        </is>
      </c>
      <c r="F35" s="17" t="inlineStr">
        <is>
          <t>보스가 공격 Windup 대기 중</t>
        </is>
      </c>
      <c r="G35" s="17" t="inlineStr">
        <is>
          <t>-</t>
        </is>
      </c>
      <c r="H35" s="17" t="inlineStr">
        <is>
          <t>그 프레임에 킬샷을 넣음</t>
        </is>
      </c>
      <c r="I35" s="17" t="inlineStr">
        <is>
          <t>죽은 뒤에는 왜곡 등 진행 중이던 공격이 발동되지 않는다</t>
        </is>
      </c>
      <c r="J35" s="18" t="inlineStr">
        <is>
          <t>P0</t>
        </is>
      </c>
      <c r="K35" s="15" t="inlineStr">
        <is>
          <t>N</t>
        </is>
      </c>
      <c r="L35" s="17" t="inlineStr"/>
      <c r="M35" s="15" t="inlineStr"/>
      <c r="N35" s="15" t="inlineStr"/>
      <c r="O35" s="15" t="inlineStr"/>
      <c r="P35" s="15" t="inlineStr"/>
      <c r="Q35" s="15" t="inlineStr"/>
      <c r="R35" s="17" t="inlineStr">
        <is>
          <t>2026-09-04 '죽은 보스가 스킬을 씀' 버그</t>
        </is>
      </c>
    </row>
    <row r="36" ht="48" customHeight="1">
      <c r="A36" s="15" t="inlineStr">
        <is>
          <t>TC-BOSS-005</t>
        </is>
      </c>
      <c r="B36" s="15" t="inlineStr">
        <is>
          <t>보스전</t>
        </is>
      </c>
      <c r="C36" s="17" t="inlineStr">
        <is>
          <t>넉백 면역</t>
        </is>
      </c>
      <c r="D36" s="15" t="inlineStr">
        <is>
          <t>기능</t>
        </is>
      </c>
      <c r="E36" s="17" t="inlineStr">
        <is>
          <t>보스는 넉백당하지 않는다</t>
        </is>
      </c>
      <c r="F36" s="17" t="inlineStr">
        <is>
          <t>노랑 번쩍이나 구르기 등 넉백 수단 보유</t>
        </is>
      </c>
      <c r="G36" s="17" t="inlineStr">
        <is>
          <t>-</t>
        </is>
      </c>
      <c r="H36" s="17" t="inlineStr">
        <is>
          <t>보스에게 넉백 시도</t>
        </is>
      </c>
      <c r="I36" s="17" t="inlineStr">
        <is>
          <t>보스 위치가 전혀 밀리지 않는다, IKnockbackable 미구현</t>
        </is>
      </c>
      <c r="J36" s="21" t="inlineStr">
        <is>
          <t>P2</t>
        </is>
      </c>
      <c r="K36" s="15" t="inlineStr">
        <is>
          <t>N</t>
        </is>
      </c>
      <c r="L36" s="17" t="inlineStr"/>
      <c r="M36" s="15" t="inlineStr"/>
      <c r="N36" s="15" t="inlineStr"/>
      <c r="O36" s="15" t="inlineStr"/>
      <c r="P36" s="15" t="inlineStr"/>
      <c r="Q36" s="15" t="inlineStr"/>
      <c r="R36" s="17" t="inlineStr"/>
    </row>
    <row r="37" ht="48" customHeight="1">
      <c r="A37" s="15" t="inlineStr">
        <is>
          <t>TC-ORB-001</t>
        </is>
      </c>
      <c r="B37" s="15" t="inlineStr">
        <is>
          <t>색구슬시스템</t>
        </is>
      </c>
      <c r="C37" s="17" t="inlineStr">
        <is>
          <t>보유 상한</t>
        </is>
      </c>
      <c r="D37" s="15" t="inlineStr">
        <is>
          <t>경계값</t>
        </is>
      </c>
      <c r="E37" s="17" t="inlineStr">
        <is>
          <t>5개 초과 시 가장 오래된 색부터 FIFO로 빠진다</t>
        </is>
      </c>
      <c r="F37" s="17" t="inlineStr">
        <is>
          <t>서로 다른 색 구슬 5개 보유</t>
        </is>
      </c>
      <c r="G37" s="17" t="inlineStr">
        <is>
          <t>maxHeldOrbs=5</t>
        </is>
      </c>
      <c r="H37" s="17" t="inlineStr">
        <is>
          <t>새로운 색의 6번째 구슬 획득</t>
        </is>
      </c>
      <c r="I37" s="17" t="inlineStr">
        <is>
          <t>가장 먼저 얻은 색이 1개 줄고 새 색이 추가되어 합계 5개 유지</t>
        </is>
      </c>
      <c r="J37" s="19" t="inlineStr">
        <is>
          <t>P1</t>
        </is>
      </c>
      <c r="K37" s="15" t="inlineStr">
        <is>
          <t>N</t>
        </is>
      </c>
      <c r="L37" s="17" t="inlineStr"/>
      <c r="M37" s="15" t="inlineStr"/>
      <c r="N37" s="15" t="inlineStr"/>
      <c r="O37" s="15" t="inlineStr"/>
      <c r="P37" s="15" t="inlineStr"/>
      <c r="Q37" s="15" t="inlineStr"/>
      <c r="R37" s="17" t="inlineStr"/>
    </row>
    <row r="38" ht="48" customHeight="1">
      <c r="A38" s="15" t="inlineStr">
        <is>
          <t>TC-ORB-002</t>
        </is>
      </c>
      <c r="B38" s="15" t="inlineStr">
        <is>
          <t>색구슬시스템</t>
        </is>
      </c>
      <c r="C38" s="17" t="inlineStr">
        <is>
          <t>스킬 소모</t>
        </is>
      </c>
      <c r="D38" s="15" t="inlineStr">
        <is>
          <t>예외처리</t>
        </is>
      </c>
      <c r="E38" s="17" t="inlineStr">
        <is>
          <t>스킬 사용 후에도 FIFO 순서 정합성 유지</t>
        </is>
      </c>
      <c r="F38" s="17" t="inlineStr">
        <is>
          <t>여러 색 구슬 보유</t>
        </is>
      </c>
      <c r="G38" s="17" t="inlineStr">
        <is>
          <t>-</t>
        </is>
      </c>
      <c r="H38" s="17" t="inlineStr">
        <is>
          <t>스킬로 특정 색 소모 후 구슬을 계속 획득/소모 반복</t>
        </is>
      </c>
      <c r="I38" s="17" t="inlineStr">
        <is>
          <t>heldOrbs와 내부 소모 순서가 어긋나 음수/예외가 발생하지 않는다</t>
        </is>
      </c>
      <c r="J38" s="21" t="inlineStr">
        <is>
          <t>P2</t>
        </is>
      </c>
      <c r="K38" s="15" t="inlineStr">
        <is>
          <t>N</t>
        </is>
      </c>
      <c r="L38" s="17" t="inlineStr"/>
      <c r="M38" s="15" t="inlineStr"/>
      <c r="N38" s="15" t="inlineStr"/>
      <c r="O38" s="15" t="inlineStr"/>
      <c r="P38" s="15" t="inlineStr"/>
      <c r="Q38" s="15" t="inlineStr"/>
      <c r="R38" s="17" t="inlineStr"/>
    </row>
    <row r="39" ht="48" customHeight="1">
      <c r="A39" s="15" t="inlineStr">
        <is>
          <t>TC-ORB-003</t>
        </is>
      </c>
      <c r="B39" s="15" t="inlineStr">
        <is>
          <t>색구슬시스템</t>
        </is>
      </c>
      <c r="C39" s="17" t="inlineStr">
        <is>
          <t>누적 기록</t>
        </is>
      </c>
      <c r="D39" s="15" t="inlineStr">
        <is>
          <t>기능</t>
        </is>
      </c>
      <c r="E39" s="17" t="inlineStr">
        <is>
          <t>Lifetime 카운트는 절대 감소하지 않는다</t>
        </is>
      </c>
      <c r="F39" s="17" t="inlineStr">
        <is>
          <t>구슬 여러 개 획득 후 스킬로 소모</t>
        </is>
      </c>
      <c r="G39" s="17" t="inlineStr">
        <is>
          <t>-</t>
        </is>
      </c>
      <c r="H39" s="17" t="inlineStr">
        <is>
          <t>소모 후 보유/누적 비교</t>
        </is>
      </c>
      <c r="I39" s="17" t="inlineStr">
        <is>
          <t>보유 Held는 줄어도 누적 Lifetime 값은 그대로거나 계속 증가만 한다</t>
        </is>
      </c>
      <c r="J39" s="21" t="inlineStr">
        <is>
          <t>P2</t>
        </is>
      </c>
      <c r="K39" s="15" t="inlineStr">
        <is>
          <t>N</t>
        </is>
      </c>
      <c r="L39" s="17" t="inlineStr"/>
      <c r="M39" s="15" t="inlineStr"/>
      <c r="N39" s="15" t="inlineStr"/>
      <c r="O39" s="15" t="inlineStr"/>
      <c r="P39" s="15" t="inlineStr"/>
      <c r="Q39" s="15" t="inlineStr"/>
      <c r="R39" s="17" t="inlineStr"/>
    </row>
    <row r="40" ht="48" customHeight="1">
      <c r="A40" s="15" t="inlineStr">
        <is>
          <t>TC-PNT-001</t>
        </is>
      </c>
      <c r="B40" s="15" t="inlineStr">
        <is>
          <t>색칠/복원</t>
        </is>
      </c>
      <c r="C40" s="17" t="inlineStr">
        <is>
          <t>색 복원 파동</t>
        </is>
      </c>
      <c r="D40" s="15" t="inlineStr">
        <is>
          <t>기능</t>
        </is>
      </c>
      <c r="E40" s="17" t="inlineStr">
        <is>
          <t>파동이 닿으면 서서히 원색으로 복귀</t>
        </is>
      </c>
      <c r="F40" s="17" t="inlineStr">
        <is>
          <t>회색 상태의 PaintableObject</t>
        </is>
      </c>
      <c r="G40" s="17" t="inlineStr">
        <is>
          <t>fadeDuration=0.2s</t>
        </is>
      </c>
      <c r="H40" s="17" t="inlineStr">
        <is>
          <t>색 복원 파동으로 Paint() 트리거</t>
        </is>
      </c>
      <c r="I40" s="17" t="inlineStr">
        <is>
          <t>fadeDuration에 걸쳐 자연스럽게 원래 색으로 보간된다</t>
        </is>
      </c>
      <c r="J40" s="19" t="inlineStr">
        <is>
          <t>P1</t>
        </is>
      </c>
      <c r="K40" s="15" t="inlineStr">
        <is>
          <t>N</t>
        </is>
      </c>
      <c r="L40" s="17" t="inlineStr"/>
      <c r="M40" s="15" t="inlineStr"/>
      <c r="N40" s="15" t="inlineStr"/>
      <c r="O40" s="15" t="inlineStr"/>
      <c r="P40" s="15" t="inlineStr"/>
      <c r="Q40" s="15" t="inlineStr"/>
      <c r="R40" s="17" t="inlineStr"/>
    </row>
    <row r="41" ht="48" customHeight="1">
      <c r="A41" s="15" t="inlineStr">
        <is>
          <t>TC-PNT-002</t>
        </is>
      </c>
      <c r="B41" s="15" t="inlineStr">
        <is>
          <t>색칠/복원</t>
        </is>
      </c>
      <c r="C41" s="17" t="inlineStr">
        <is>
          <t>색 복원 파동</t>
        </is>
      </c>
      <c r="D41" s="15" t="inlineStr">
        <is>
          <t>경계값</t>
        </is>
      </c>
      <c r="E41" s="17" t="inlineStr">
        <is>
          <t>중복 파동에도 안전하다</t>
        </is>
      </c>
      <c r="F41" s="17" t="inlineStr">
        <is>
          <t>이미 색칠된 오브젝트</t>
        </is>
      </c>
      <c r="G41" s="17" t="inlineStr">
        <is>
          <t>-</t>
        </is>
      </c>
      <c r="H41" s="17" t="inlineStr">
        <is>
          <t>같은 오브젝트에 파동을 한 번 더 트리거</t>
        </is>
      </c>
      <c r="I41" s="17" t="inlineStr">
        <is>
          <t>예외 없이 무시되고 중복 페이드도 걸리지 않는다</t>
        </is>
      </c>
      <c r="J41" s="21" t="inlineStr">
        <is>
          <t>P2</t>
        </is>
      </c>
      <c r="K41" s="15" t="inlineStr">
        <is>
          <t>N</t>
        </is>
      </c>
      <c r="L41" s="17" t="inlineStr"/>
      <c r="M41" s="15" t="inlineStr"/>
      <c r="N41" s="15" t="inlineStr"/>
      <c r="O41" s="15" t="inlineStr"/>
      <c r="P41" s="15" t="inlineStr"/>
      <c r="Q41" s="15" t="inlineStr"/>
      <c r="R41" s="17" t="inlineStr"/>
    </row>
    <row r="42" ht="48" customHeight="1">
      <c r="A42" s="15" t="inlineStr">
        <is>
          <t>TC-PNT-003</t>
        </is>
      </c>
      <c r="B42" s="15" t="inlineStr">
        <is>
          <t>색칠/복원</t>
        </is>
      </c>
      <c r="C42" s="17" t="inlineStr">
        <is>
          <t>숨겨진 구슬</t>
        </is>
      </c>
      <c r="D42" s="15" t="inlineStr">
        <is>
          <t>기능</t>
        </is>
      </c>
      <c r="E42" s="17" t="inlineStr">
        <is>
          <t>특정 타일 복원 시 숨겨진 구슬이 등장한다</t>
        </is>
      </c>
      <c r="F42" s="17" t="inlineStr">
        <is>
          <t>HiddenOrbSpawner가 연결된 PaintableObject</t>
        </is>
      </c>
      <c r="G42" s="17" t="inlineStr">
        <is>
          <t>-</t>
        </is>
      </c>
      <c r="H42" s="17" t="inlineStr">
        <is>
          <t>해당 타일 색 복원</t>
        </is>
      </c>
      <c r="I42" s="17" t="inlineStr">
        <is>
          <t>지정 위치에 구슬이 나타나고, 획득 시 연결된 계단이 열린다</t>
        </is>
      </c>
      <c r="J42" s="19" t="inlineStr">
        <is>
          <t>P1</t>
        </is>
      </c>
      <c r="K42" s="15" t="inlineStr">
        <is>
          <t>N</t>
        </is>
      </c>
      <c r="L42" s="17" t="inlineStr"/>
      <c r="M42" s="15" t="inlineStr"/>
      <c r="N42" s="15" t="inlineStr"/>
      <c r="O42" s="15" t="inlineStr"/>
      <c r="P42" s="15" t="inlineStr"/>
      <c r="Q42" s="15" t="inlineStr"/>
      <c r="R42" s="17" t="inlineStr"/>
    </row>
    <row r="43" ht="48" customHeight="1">
      <c r="A43" s="15" t="inlineStr">
        <is>
          <t>TC-PNT-004</t>
        </is>
      </c>
      <c r="B43" s="15" t="inlineStr">
        <is>
          <t>색칠/복원</t>
        </is>
      </c>
      <c r="C43" s="17" t="inlineStr">
        <is>
          <t>숨겨진 구슬</t>
        </is>
      </c>
      <c r="D43" s="20" t="inlineStr">
        <is>
          <t>회귀</t>
        </is>
      </c>
      <c r="E43" s="17" t="inlineStr">
        <is>
          <t>스포너가 파괴된 뒤 구슬을 주워도 예외가 안 난다</t>
        </is>
      </c>
      <c r="F43" s="17" t="inlineStr">
        <is>
          <t>숨겨진 구슬 등장 후 방/면 전환으로 스포너만 파괴됨</t>
        </is>
      </c>
      <c r="G43" s="17" t="inlineStr">
        <is>
          <t>-</t>
        </is>
      </c>
      <c r="H43" s="17" t="inlineStr">
        <is>
          <t>남아있는 구슬을 나중에 습득</t>
        </is>
      </c>
      <c r="I43" s="17" t="inlineStr">
        <is>
          <t>MissingReferenceException 없이 정상 처리된다</t>
        </is>
      </c>
      <c r="J43" s="18" t="inlineStr">
        <is>
          <t>P0</t>
        </is>
      </c>
      <c r="K43" s="15" t="inlineStr">
        <is>
          <t>N</t>
        </is>
      </c>
      <c r="L43" s="17" t="inlineStr"/>
      <c r="M43" s="15" t="inlineStr"/>
      <c r="N43" s="15" t="inlineStr"/>
      <c r="O43" s="15" t="inlineStr"/>
      <c r="P43" s="15" t="inlineStr"/>
      <c r="Q43" s="15" t="inlineStr"/>
      <c r="R43" s="17" t="inlineStr">
        <is>
          <t>2026-09-07 수정 버그, HiddenOrbSpawner OnDestroy에서 구독 해제</t>
        </is>
      </c>
    </row>
    <row r="44" ht="48" customHeight="1">
      <c r="A44" s="15" t="inlineStr">
        <is>
          <t>TC-RCG-001</t>
        </is>
      </c>
      <c r="B44" s="15" t="inlineStr">
        <is>
          <t>룸클리어/계단</t>
        </is>
      </c>
      <c r="C44" s="17" t="inlineStr">
        <is>
          <t>클리어 판정</t>
        </is>
      </c>
      <c r="D44" s="15" t="inlineStr">
        <is>
          <t>기능</t>
        </is>
      </c>
      <c r="E44" s="17" t="inlineStr">
        <is>
          <t>방 안 적을 전멸시키면 계단이 열린다</t>
        </is>
      </c>
      <c r="F44" s="17" t="inlineStr">
        <is>
          <t>RoomClearGate 범위 안에 적 존재</t>
        </is>
      </c>
      <c r="G44" s="17" t="inlineStr">
        <is>
          <t>clearGraceDuration=3s</t>
        </is>
      </c>
      <c r="H44" s="17" t="inlineStr">
        <is>
          <t>적 전부 처치</t>
        </is>
      </c>
      <c r="I44" s="17" t="inlineStr">
        <is>
          <t>clearGraceDuration 3초 동안 0마리 유지 후 계단이 활성화된다</t>
        </is>
      </c>
      <c r="J44" s="18" t="inlineStr">
        <is>
          <t>P0</t>
        </is>
      </c>
      <c r="K44" s="15" t="inlineStr">
        <is>
          <t>N</t>
        </is>
      </c>
      <c r="L44" s="17" t="inlineStr"/>
      <c r="M44" s="15" t="inlineStr"/>
      <c r="N44" s="15" t="inlineStr"/>
      <c r="O44" s="15" t="inlineStr"/>
      <c r="P44" s="15" t="inlineStr"/>
      <c r="Q44" s="15" t="inlineStr"/>
      <c r="R44" s="17" t="inlineStr"/>
    </row>
    <row r="45" ht="48" customHeight="1">
      <c r="A45" s="15" t="inlineStr">
        <is>
          <t>TC-RCG-002</t>
        </is>
      </c>
      <c r="B45" s="15" t="inlineStr">
        <is>
          <t>룸클리어/계단</t>
        </is>
      </c>
      <c r="C45" s="17" t="inlineStr">
        <is>
          <t>웨이브 오탐 방지</t>
        </is>
      </c>
      <c r="D45" s="20" t="inlineStr">
        <is>
          <t>회귀</t>
        </is>
      </c>
      <c r="E45" s="17" t="inlineStr">
        <is>
          <t>웨이브 사이 인터벌 동안 오탐 클리어가 안 난다</t>
        </is>
      </c>
      <c r="F45" s="17" t="inlineStr">
        <is>
          <t>EncounterSpawner가 여러 웨이브로 순차 스폰</t>
        </is>
      </c>
      <c r="G45" s="17" t="inlineStr">
        <is>
          <t>waveInterval=2s &lt; clearGraceDuration=3s</t>
        </is>
      </c>
      <c r="H45" s="17" t="inlineStr">
        <is>
          <t>1웨이브만 처치하고 다음 웨이브 스폰 대기</t>
        </is>
      </c>
      <c r="I45" s="17" t="inlineStr">
        <is>
          <t>웨이브 인터벌 동안 일시적으로 0마리여도 계단이 열리지 않는다</t>
        </is>
      </c>
      <c r="J45" s="18" t="inlineStr">
        <is>
          <t>P0</t>
        </is>
      </c>
      <c r="K45" s="15" t="inlineStr">
        <is>
          <t>N</t>
        </is>
      </c>
      <c r="L45" s="17" t="inlineStr"/>
      <c r="M45" s="15" t="inlineStr"/>
      <c r="N45" s="15" t="inlineStr"/>
      <c r="O45" s="15" t="inlineStr"/>
      <c r="P45" s="15" t="inlineStr"/>
      <c r="Q45" s="15" t="inlineStr"/>
      <c r="R45" s="17" t="inlineStr">
        <is>
          <t>2026-09-04 오탐 버그</t>
        </is>
      </c>
    </row>
    <row r="46" ht="48" customHeight="1">
      <c r="A46" s="15" t="inlineStr">
        <is>
          <t>TC-RCG-003</t>
        </is>
      </c>
      <c r="B46" s="15" t="inlineStr">
        <is>
          <t>룸클리어/계단</t>
        </is>
      </c>
      <c r="C46" s="17" t="inlineStr">
        <is>
          <t>보스룸 예외</t>
        </is>
      </c>
      <c r="D46" s="20" t="inlineStr">
        <is>
          <t>회귀</t>
        </is>
      </c>
      <c r="E46" s="17" t="inlineStr">
        <is>
          <t>보스가 살아있으면 클리어 판정 안 됨</t>
        </is>
      </c>
      <c r="F46" s="17" t="inlineStr">
        <is>
          <t>보스룸, 일반 몹 없음, 보스 생존</t>
        </is>
      </c>
      <c r="G46" s="17" t="inlineStr">
        <is>
          <t>-</t>
        </is>
      </c>
      <c r="H46" s="17" t="inlineStr">
        <is>
          <t>게이트 판정 대기</t>
        </is>
      </c>
      <c r="I46" s="17" t="inlineStr">
        <is>
          <t>보스가 EnemyHealth가 아니라 BossHealth라도 클리어로 오판하지 않는다</t>
        </is>
      </c>
      <c r="J46" s="18" t="inlineStr">
        <is>
          <t>P0</t>
        </is>
      </c>
      <c r="K46" s="15" t="inlineStr">
        <is>
          <t>N</t>
        </is>
      </c>
      <c r="L46" s="17" t="inlineStr"/>
      <c r="M46" s="15" t="inlineStr"/>
      <c r="N46" s="15" t="inlineStr"/>
      <c r="O46" s="15" t="inlineStr"/>
      <c r="P46" s="15" t="inlineStr"/>
      <c r="Q46" s="15" t="inlineStr"/>
      <c r="R46" s="17" t="inlineStr">
        <is>
          <t>2026-09-02 '보스전 중 스테이지 넘어감' 버그</t>
        </is>
      </c>
    </row>
    <row r="47" ht="48" customHeight="1">
      <c r="A47" s="15" t="inlineStr">
        <is>
          <t>TC-RCG-004</t>
        </is>
      </c>
      <c r="B47" s="15" t="inlineStr">
        <is>
          <t>룸클리어/계단</t>
        </is>
      </c>
      <c r="C47" s="17" t="inlineStr">
        <is>
          <t>계단 사용</t>
        </is>
      </c>
      <c r="D47" s="15" t="inlineStr">
        <is>
          <t>기능</t>
        </is>
      </c>
      <c r="E47" s="17" t="inlineStr">
        <is>
          <t>계단을 밟으면 다음 면으로 전환된다</t>
        </is>
      </c>
      <c r="F47" s="17" t="inlineStr">
        <is>
          <t>계단 활성화 상태</t>
        </is>
      </c>
      <c r="G47" s="17" t="inlineStr">
        <is>
          <t>-</t>
        </is>
      </c>
      <c r="H47" s="17" t="inlineStr">
        <is>
          <t>플레이어가 계단 콜라이더 진입</t>
        </is>
      </c>
      <c r="I47" s="17" t="inlineStr">
        <is>
          <t>큐브가 무작위 축으로 회전하며 다음 면으로 전환된다</t>
        </is>
      </c>
      <c r="J47" s="18" t="inlineStr">
        <is>
          <t>P0</t>
        </is>
      </c>
      <c r="K47" s="15" t="inlineStr">
        <is>
          <t>N</t>
        </is>
      </c>
      <c r="L47" s="17" t="inlineStr"/>
      <c r="M47" s="15" t="inlineStr"/>
      <c r="N47" s="15" t="inlineStr"/>
      <c r="O47" s="15" t="inlineStr"/>
      <c r="P47" s="15" t="inlineStr"/>
      <c r="Q47" s="15" t="inlineStr"/>
      <c r="R47" s="17" t="inlineStr"/>
    </row>
    <row r="48" ht="48" customHeight="1">
      <c r="A48" s="15" t="inlineStr">
        <is>
          <t>TC-SAV-001</t>
        </is>
      </c>
      <c r="B48" s="15" t="inlineStr">
        <is>
          <t>세이브/로드</t>
        </is>
      </c>
      <c r="C48" s="17" t="inlineStr">
        <is>
          <t>저장/로드</t>
        </is>
      </c>
      <c r="D48" s="15" t="inlineStr">
        <is>
          <t>기능</t>
        </is>
      </c>
      <c r="E48" s="17" t="inlineStr">
        <is>
          <t>층/면/색구슬/HP가 정확히 복원된다</t>
        </is>
      </c>
      <c r="F48" s="17" t="inlineStr">
        <is>
          <t>임의 진행 상태에서 저장</t>
        </is>
      </c>
      <c r="G48" s="17" t="inlineStr">
        <is>
          <t>-</t>
        </is>
      </c>
      <c r="H48" s="17" t="inlineStr">
        <is>
          <t>게임 재시작 후 로드</t>
        </is>
      </c>
      <c r="I48" s="17" t="inlineStr">
        <is>
          <t>저장 시점의 층, 면, 보유/누적 색구슬, 플레이어 HP가 그대로 복원된다</t>
        </is>
      </c>
      <c r="J48" s="18" t="inlineStr">
        <is>
          <t>P0</t>
        </is>
      </c>
      <c r="K48" s="15" t="inlineStr">
        <is>
          <t>N</t>
        </is>
      </c>
      <c r="L48" s="17" t="inlineStr"/>
      <c r="M48" s="15" t="inlineStr"/>
      <c r="N48" s="15" t="inlineStr"/>
      <c r="O48" s="15" t="inlineStr"/>
      <c r="P48" s="15" t="inlineStr"/>
      <c r="Q48" s="15" t="inlineStr"/>
      <c r="R48" s="17" t="inlineStr"/>
    </row>
    <row r="49" ht="48" customHeight="1">
      <c r="A49" s="15" t="inlineStr">
        <is>
          <t>TC-SAV-002</t>
        </is>
      </c>
      <c r="B49" s="15" t="inlineStr">
        <is>
          <t>세이브/로드</t>
        </is>
      </c>
      <c r="C49" s="17" t="inlineStr">
        <is>
          <t>개발용 토글</t>
        </is>
      </c>
      <c r="D49" s="15" t="inlineStr">
        <is>
          <t>경계값</t>
        </is>
      </c>
      <c r="E49" s="17" t="inlineStr">
        <is>
          <t>풀피 시작 토글이 저장된 HP를 무시한다</t>
        </is>
      </c>
      <c r="F49" s="17" t="inlineStr">
        <is>
          <t>직전 세션에서 HP가 낮은 채로 저장됨</t>
        </is>
      </c>
      <c r="G49" s="17" t="inlineStr">
        <is>
          <t>debugAlwaysFullPlayerHpOnLoad=true</t>
        </is>
      </c>
      <c r="H49" s="17" t="inlineStr">
        <is>
          <t>면 로드</t>
        </is>
      </c>
      <c r="I49" s="17" t="inlineStr">
        <is>
          <t>저장된 HP와 무관하게 항상 풀피인 100으로 시작한다</t>
        </is>
      </c>
      <c r="J49" s="21" t="inlineStr">
        <is>
          <t>P2</t>
        </is>
      </c>
      <c r="K49" s="15" t="inlineStr">
        <is>
          <t>N</t>
        </is>
      </c>
      <c r="L49" s="17" t="inlineStr"/>
      <c r="M49" s="15" t="inlineStr"/>
      <c r="N49" s="15" t="inlineStr"/>
      <c r="O49" s="15" t="inlineStr"/>
      <c r="P49" s="15" t="inlineStr"/>
      <c r="Q49" s="15" t="inlineStr"/>
      <c r="R49" s="17" t="inlineStr">
        <is>
          <t>배포 전 반드시 꺼져있어야 함 — 빌드 체크리스트 항목</t>
        </is>
      </c>
    </row>
    <row r="50" ht="48" customHeight="1">
      <c r="A50" s="15" t="inlineStr">
        <is>
          <t>TC-GOV-001</t>
        </is>
      </c>
      <c r="B50" s="15" t="inlineStr">
        <is>
          <t>게임오버/리트라이</t>
        </is>
      </c>
      <c r="C50" s="17" t="inlineStr">
        <is>
          <t>사망 처리</t>
        </is>
      </c>
      <c r="D50" s="15" t="inlineStr">
        <is>
          <t>기능</t>
        </is>
      </c>
      <c r="E50" s="17" t="inlineStr">
        <is>
          <t>플레이어 사망 시 현재 면을 리로드하고 풀피로 복귀한다</t>
        </is>
      </c>
      <c r="F50" s="17" t="inlineStr">
        <is>
          <t>플레이어 HP 0</t>
        </is>
      </c>
      <c r="G50" s="17" t="inlineStr">
        <is>
          <t>messageDelay=1.5s</t>
        </is>
      </c>
      <c r="H50" s="17" t="inlineStr">
        <is>
          <t>사망 유도</t>
        </is>
      </c>
      <c r="I50" s="17" t="inlineStr">
        <is>
          <t>'게임 오버' 문구 표시 → 약 1.5초 후 현재 면 리로드로 적 리스폰 → 풀피 복귀</t>
        </is>
      </c>
      <c r="J50" s="18" t="inlineStr">
        <is>
          <t>P0</t>
        </is>
      </c>
      <c r="K50" s="15" t="inlineStr">
        <is>
          <t>N</t>
        </is>
      </c>
      <c r="L50" s="17" t="inlineStr"/>
      <c r="M50" s="15" t="inlineStr"/>
      <c r="N50" s="15" t="inlineStr"/>
      <c r="O50" s="15" t="inlineStr"/>
      <c r="P50" s="15" t="inlineStr"/>
      <c r="Q50" s="15" t="inlineStr"/>
      <c r="R50" s="17" t="inlineStr"/>
    </row>
    <row r="51" ht="48" customHeight="1">
      <c r="A51" s="15" t="inlineStr">
        <is>
          <t>TC-UI-001</t>
        </is>
      </c>
      <c r="B51" s="15" t="inlineStr">
        <is>
          <t>UI</t>
        </is>
      </c>
      <c r="C51" s="17" t="inlineStr">
        <is>
          <t>설정 메뉴</t>
        </is>
      </c>
      <c r="D51" s="15" t="inlineStr">
        <is>
          <t>기능</t>
        </is>
      </c>
      <c r="E51" s="17" t="inlineStr">
        <is>
          <t>Esc로 설정 메뉴가 열리고 닫힌다</t>
        </is>
      </c>
      <c r="F51" s="17" t="inlineStr">
        <is>
          <t>게임플레이 중, 튜토리얼 스킵 팝업이 안 뜬 상태</t>
        </is>
      </c>
      <c r="G51" s="17" t="inlineStr">
        <is>
          <t>-</t>
        </is>
      </c>
      <c r="H51" s="17" t="inlineStr">
        <is>
          <t>Esc 입력 반복</t>
        </is>
      </c>
      <c r="I51" s="17" t="inlineStr">
        <is>
          <t>메뉴가 토글되며 Time.timeScale이 0/1로 정확히 전환된다</t>
        </is>
      </c>
      <c r="J51" s="19" t="inlineStr">
        <is>
          <t>P1</t>
        </is>
      </c>
      <c r="K51" s="15" t="inlineStr">
        <is>
          <t>N</t>
        </is>
      </c>
      <c r="L51" s="17" t="inlineStr"/>
      <c r="M51" s="15" t="inlineStr"/>
      <c r="N51" s="15" t="inlineStr"/>
      <c r="O51" s="15" t="inlineStr"/>
      <c r="P51" s="15" t="inlineStr"/>
      <c r="Q51" s="15" t="inlineStr"/>
      <c r="R51" s="17" t="inlineStr"/>
    </row>
    <row r="52" ht="48" customHeight="1">
      <c r="A52" s="15" t="inlineStr">
        <is>
          <t>TC-UI-002</t>
        </is>
      </c>
      <c r="B52" s="15" t="inlineStr">
        <is>
          <t>UI</t>
        </is>
      </c>
      <c r="C52" s="17" t="inlineStr">
        <is>
          <t>설정 메뉴</t>
        </is>
      </c>
      <c r="D52" s="15" t="inlineStr">
        <is>
          <t>기능</t>
        </is>
      </c>
      <c r="E52" s="17" t="inlineStr">
        <is>
          <t>마우스 감도 슬라이더가 즉시 반영된다</t>
        </is>
      </c>
      <c r="F52" s="17" t="inlineStr">
        <is>
          <t>설정 메뉴 열림</t>
        </is>
      </c>
      <c r="G52" s="17" t="inlineStr">
        <is>
          <t>-</t>
        </is>
      </c>
      <c r="H52" s="17" t="inlineStr">
        <is>
          <t>슬라이더 조작</t>
        </is>
      </c>
      <c r="I52" s="17" t="inlineStr">
        <is>
          <t>카메라 회전 감도가 실시간으로 바뀌고 PlayerPrefs에 저장된다</t>
        </is>
      </c>
      <c r="J52" s="19" t="inlineStr">
        <is>
          <t>P1</t>
        </is>
      </c>
      <c r="K52" s="15" t="inlineStr">
        <is>
          <t>N</t>
        </is>
      </c>
      <c r="L52" s="17" t="inlineStr"/>
      <c r="M52" s="15" t="inlineStr"/>
      <c r="N52" s="15" t="inlineStr"/>
      <c r="O52" s="15" t="inlineStr"/>
      <c r="P52" s="15" t="inlineStr"/>
      <c r="Q52" s="15" t="inlineStr"/>
      <c r="R52" s="17" t="inlineStr"/>
    </row>
    <row r="53" ht="48" customHeight="1">
      <c r="A53" s="15" t="inlineStr">
        <is>
          <t>TC-UI-003</t>
        </is>
      </c>
      <c r="B53" s="15" t="inlineStr">
        <is>
          <t>UI</t>
        </is>
      </c>
      <c r="C53" s="17" t="inlineStr">
        <is>
          <t>튜토리얼 스킵</t>
        </is>
      </c>
      <c r="D53" s="15" t="inlineStr">
        <is>
          <t>기능</t>
        </is>
      </c>
      <c r="E53" s="17" t="inlineStr">
        <is>
          <t>스킵 확인 후 지정 체크포인트로 이동한다</t>
        </is>
      </c>
      <c r="F53" s="17" t="inlineStr">
        <is>
          <t>튜토리얼 스킵 가능 상태, SkipAvailable=true</t>
        </is>
      </c>
      <c r="G53" s="17" t="inlineStr">
        <is>
          <t>-</t>
        </is>
      </c>
      <c r="H53" s="17" t="inlineStr">
        <is>
          <t>Esc → 스킵 확인창 → '건너뛰기'</t>
        </is>
      </c>
      <c r="I53" s="17" t="inlineStr">
        <is>
          <t>Checkpoint_ObstaclePassed 위치로 순간이동하고 이후 전투가 정상 진행된다</t>
        </is>
      </c>
      <c r="J53" s="19" t="inlineStr">
        <is>
          <t>P1</t>
        </is>
      </c>
      <c r="K53" s="15" t="inlineStr">
        <is>
          <t>N</t>
        </is>
      </c>
      <c r="L53" s="17" t="inlineStr"/>
      <c r="M53" s="15" t="inlineStr"/>
      <c r="N53" s="15" t="inlineStr"/>
      <c r="O53" s="15" t="inlineStr"/>
      <c r="P53" s="15" t="inlineStr"/>
      <c r="Q53" s="15" t="inlineStr"/>
      <c r="R53" s="17" t="inlineStr"/>
    </row>
    <row r="54" ht="48" customHeight="1">
      <c r="A54" s="15" t="inlineStr">
        <is>
          <t>TC-UI-004</t>
        </is>
      </c>
      <c r="B54" s="15" t="inlineStr">
        <is>
          <t>UI</t>
        </is>
      </c>
      <c r="C54" s="17" t="inlineStr">
        <is>
          <t>튜토리얼 스킵</t>
        </is>
      </c>
      <c r="D54" s="15" t="inlineStr">
        <is>
          <t>예외처리</t>
        </is>
      </c>
      <c r="E54" s="17" t="inlineStr">
        <is>
          <t>설정 메뉴와 Esc 충돌이 없다</t>
        </is>
      </c>
      <c r="F54" s="17" t="inlineStr">
        <is>
          <t>스킵 가능 상태</t>
        </is>
      </c>
      <c r="G54" s="17" t="inlineStr">
        <is>
          <t>-</t>
        </is>
      </c>
      <c r="H54" s="17" t="inlineStr">
        <is>
          <t>Esc 1회 입력</t>
        </is>
      </c>
      <c r="I54" s="17" t="inlineStr">
        <is>
          <t>스킵 확인창만 뜨고 설정 메뉴는 동시에 뜨지 않아 경쟁 상태가 없다</t>
        </is>
      </c>
      <c r="J54" s="21" t="inlineStr">
        <is>
          <t>P2</t>
        </is>
      </c>
      <c r="K54" s="15" t="inlineStr">
        <is>
          <t>N</t>
        </is>
      </c>
      <c r="L54" s="17" t="inlineStr"/>
      <c r="M54" s="15" t="inlineStr"/>
      <c r="N54" s="15" t="inlineStr"/>
      <c r="O54" s="15" t="inlineStr"/>
      <c r="P54" s="15" t="inlineStr"/>
      <c r="Q54" s="15" t="inlineStr"/>
      <c r="R54" s="17" t="inlineStr"/>
    </row>
    <row r="55" ht="48" customHeight="1">
      <c r="A55" s="15" t="inlineStr">
        <is>
          <t>TC-UI-005</t>
        </is>
      </c>
      <c r="B55" s="15" t="inlineStr">
        <is>
          <t>UI</t>
        </is>
      </c>
      <c r="C55" s="17" t="inlineStr">
        <is>
          <t>락온 마커</t>
        </is>
      </c>
      <c r="D55" s="15" t="inlineStr">
        <is>
          <t>기능</t>
        </is>
      </c>
      <c r="E55" s="17" t="inlineStr">
        <is>
          <t>락온 시에만 화면에 마커가 표시된다</t>
        </is>
      </c>
      <c r="F55" s="17" t="inlineStr">
        <is>
          <t>락온 안 한 상태</t>
        </is>
      </c>
      <c r="G55" s="17" t="inlineStr">
        <is>
          <t>-</t>
        </is>
      </c>
      <c r="H55" s="17" t="inlineStr">
        <is>
          <t>Tab으로 락온 → 해제</t>
        </is>
      </c>
      <c r="I55" s="17" t="inlineStr">
        <is>
          <t>락온 시 마커 표시, 해제 시 즉시 숨김</t>
        </is>
      </c>
      <c r="J55" s="21" t="inlineStr">
        <is>
          <t>P2</t>
        </is>
      </c>
      <c r="K55" s="15" t="inlineStr">
        <is>
          <t>N</t>
        </is>
      </c>
      <c r="L55" s="17" t="inlineStr"/>
      <c r="M55" s="15" t="inlineStr"/>
      <c r="N55" s="15" t="inlineStr"/>
      <c r="O55" s="15" t="inlineStr"/>
      <c r="P55" s="15" t="inlineStr"/>
      <c r="Q55" s="15" t="inlineStr"/>
      <c r="R55" s="17" t="inlineStr"/>
    </row>
    <row r="56" ht="48" customHeight="1">
      <c r="A56" s="15" t="inlineStr">
        <is>
          <t>TC-REF-001</t>
        </is>
      </c>
      <c r="B56" s="15" t="inlineStr">
        <is>
          <t>리팩토링검증</t>
        </is>
      </c>
      <c r="C56" s="17" t="inlineStr">
        <is>
          <t>EnemyBase</t>
        </is>
      </c>
      <c r="D56" s="20" t="inlineStr">
        <is>
          <t>회귀</t>
        </is>
      </c>
      <c r="E56" s="17" t="inlineStr">
        <is>
          <t>5종 몹이 리팩토링 후에도 동일하게 동작한다</t>
        </is>
      </c>
      <c r="F56" s="17" t="inlineStr">
        <is>
          <t>2026-09-07 EnemyBase 추출 완료</t>
        </is>
      </c>
      <c r="G56" s="17" t="inlineStr">
        <is>
          <t>-</t>
        </is>
      </c>
      <c r="H56" s="17" t="inlineStr">
        <is>
          <t>평/원/흡/분/광 5종 전부 플레이 테스트</t>
        </is>
      </c>
      <c r="I56" s="17" t="inlineStr">
        <is>
          <t>각 몹의 고유 행동인 분열, 흡수, AOE 등과 공통 행동인 추격, 넉백이 리팩토링 전과 동일</t>
        </is>
      </c>
      <c r="J56" s="18" t="inlineStr">
        <is>
          <t>P0</t>
        </is>
      </c>
      <c r="K56" s="15" t="inlineStr">
        <is>
          <t>N</t>
        </is>
      </c>
      <c r="L56" s="17" t="inlineStr"/>
      <c r="M56" s="15" t="inlineStr"/>
      <c r="N56" s="15" t="inlineStr"/>
      <c r="O56" s="15" t="inlineStr"/>
      <c r="P56" s="15" t="inlineStr"/>
      <c r="Q56" s="15" t="inlineStr"/>
      <c r="R56" s="17" t="inlineStr">
        <is>
          <t>회귀 스윗 — EnemyBase/asmdef 리팩토링 검증용</t>
        </is>
      </c>
    </row>
    <row r="57" ht="48" customHeight="1">
      <c r="A57" s="15" t="inlineStr">
        <is>
          <t>TC-REF-002</t>
        </is>
      </c>
      <c r="B57" s="15" t="inlineStr">
        <is>
          <t>리팩토링검증</t>
        </is>
      </c>
      <c r="C57" s="17" t="inlineStr">
        <is>
          <t>빌드</t>
        </is>
      </c>
      <c r="D57" s="15" t="inlineStr">
        <is>
          <t>기능</t>
        </is>
      </c>
      <c r="E57" s="17" t="inlineStr">
        <is>
          <t>namespace/asmdef 적용 후 정식 빌드가 성공한다</t>
        </is>
      </c>
      <c r="F57" s="17" t="inlineStr">
        <is>
          <t>2026-09-07 3단계 asmdef 완료</t>
        </is>
      </c>
      <c r="G57" s="17" t="inlineStr">
        <is>
          <t>-</t>
        </is>
      </c>
      <c r="H57" s="17" t="inlineStr">
        <is>
          <t>타겟 플랫폼으로 실제 빌드 실행</t>
        </is>
      </c>
      <c r="I57" s="17" t="inlineStr">
        <is>
          <t>컴파일 에러 없이 빌드가 완료되고 실행 파일이 정상 구동된다</t>
        </is>
      </c>
      <c r="J57" s="18" t="inlineStr">
        <is>
          <t>P0</t>
        </is>
      </c>
      <c r="K57" s="15" t="inlineStr">
        <is>
          <t>N</t>
        </is>
      </c>
      <c r="L57" s="17" t="inlineStr"/>
      <c r="M57" s="15" t="inlineStr"/>
      <c r="N57" s="15" t="inlineStr"/>
      <c r="O57" s="15" t="inlineStr"/>
      <c r="P57" s="15" t="inlineStr"/>
      <c r="Q57" s="15" t="inlineStr"/>
      <c r="R57" s="17" t="inlineStr">
        <is>
          <t>지금까지는 헤드리스 컴파일/Play 모드로만 검증됨 — 실제 빌드는 미검증</t>
        </is>
      </c>
    </row>
    <row r="58" ht="48" customHeight="1">
      <c r="A58" s="15" t="inlineStr">
        <is>
          <t>TC-REF-003</t>
        </is>
      </c>
      <c r="B58" s="15" t="inlineStr">
        <is>
          <t>리팩토링검증</t>
        </is>
      </c>
      <c r="C58" s="17" t="inlineStr">
        <is>
          <t>자동 테스트</t>
        </is>
      </c>
      <c r="D58" s="15" t="inlineStr">
        <is>
          <t>기능</t>
        </is>
      </c>
      <c r="E58" s="17" t="inlineStr">
        <is>
          <t>EditMode 회귀 테스트 22개가 CI/로컬에서 통과한다</t>
        </is>
      </c>
      <c r="F58" s="17" t="inlineStr">
        <is>
          <t>2026-09-07 6단계 테스트 완료</t>
        </is>
      </c>
      <c r="G58" s="17" t="inlineStr">
        <is>
          <t>-</t>
        </is>
      </c>
      <c r="H58" s="17" t="inlineStr">
        <is>
          <t>Test Runner에서 Meokgoeeum.Tests.EditMode 실행</t>
        </is>
      </c>
      <c r="I58" s="17" t="inlineStr">
        <is>
          <t>22/22 Pass</t>
        </is>
      </c>
      <c r="J58" s="19" t="inlineStr">
        <is>
          <t>P1</t>
        </is>
      </c>
      <c r="K58" s="15" t="inlineStr">
        <is>
          <t>Y</t>
        </is>
      </c>
      <c r="L58" s="17" t="inlineStr"/>
      <c r="M58" s="15" t="inlineStr"/>
      <c r="N58" s="15" t="inlineStr"/>
      <c r="O58" s="15" t="inlineStr"/>
      <c r="P58" s="15" t="inlineStr"/>
      <c r="Q58" s="15" t="inlineStr"/>
      <c r="R58" s="17" t="inlineStr">
        <is>
          <t>TC-UNIT-001~003과 동일한 스위트</t>
        </is>
      </c>
    </row>
    <row r="59" ht="48" customHeight="1">
      <c r="A59" s="15" t="inlineStr">
        <is>
          <t>TC-UNIT-001</t>
        </is>
      </c>
      <c r="B59" s="15" t="inlineStr">
        <is>
          <t>자동화 단위테스트</t>
        </is>
      </c>
      <c r="C59" s="17" t="inlineStr">
        <is>
          <t>PlayerHealth</t>
        </is>
      </c>
      <c r="D59" s="20" t="inlineStr">
        <is>
          <t>회귀</t>
        </is>
      </c>
      <c r="E59" s="17" t="inlineStr">
        <is>
          <t>PlayerHealth 순수 로직 단위 테스트</t>
        </is>
      </c>
      <c r="F59" s="17" t="inlineStr">
        <is>
          <t>-</t>
        </is>
      </c>
      <c r="G59" s="17" t="inlineStr">
        <is>
          <t>-</t>
        </is>
      </c>
      <c r="H59" s="17" t="inlineStr">
        <is>
          <t>Test Runner에서 PlayerHealthTests 8개 실행</t>
        </is>
      </c>
      <c r="I59" s="17" t="inlineStr">
        <is>
          <t>TakeDamage/Heal/무적/ResetHealth/SetHP 등 8개 전부 Pass</t>
        </is>
      </c>
      <c r="J59" s="19" t="inlineStr">
        <is>
          <t>P1</t>
        </is>
      </c>
      <c r="K59" s="15" t="inlineStr">
        <is>
          <t>Y</t>
        </is>
      </c>
      <c r="L59" s="17" t="inlineStr"/>
      <c r="M59" s="15" t="inlineStr"/>
      <c r="N59" s="15" t="inlineStr"/>
      <c r="O59" s="15" t="inlineStr"/>
      <c r="P59" s="15" t="inlineStr"/>
      <c r="Q59" s="15" t="inlineStr"/>
      <c r="R59" s="17" t="inlineStr">
        <is>
          <t>Assets/Scripts/Tests/EditMode/PlayerHealthTests.cs</t>
        </is>
      </c>
    </row>
    <row r="60" ht="48" customHeight="1">
      <c r="A60" s="15" t="inlineStr">
        <is>
          <t>TC-UNIT-002</t>
        </is>
      </c>
      <c r="B60" s="15" t="inlineStr">
        <is>
          <t>자동화 단위테스트</t>
        </is>
      </c>
      <c r="C60" s="17" t="inlineStr">
        <is>
          <t>EnemyHealth</t>
        </is>
      </c>
      <c r="D60" s="20" t="inlineStr">
        <is>
          <t>회귀</t>
        </is>
      </c>
      <c r="E60" s="17" t="inlineStr">
        <is>
          <t>EnemyHealth 순수 로직 단위 테스트</t>
        </is>
      </c>
      <c r="F60" s="17" t="inlineStr">
        <is>
          <t>-</t>
        </is>
      </c>
      <c r="G60" s="17" t="inlineStr">
        <is>
          <t>-</t>
        </is>
      </c>
      <c r="H60" s="17" t="inlineStr">
        <is>
          <t>Test Runner에서 EnemyHealthTests 7개 실행</t>
        </is>
      </c>
      <c r="I60" s="17" t="inlineStr">
        <is>
          <t>TakeDamage/Heal/사망후무시/ConfigureMaxHP 등 7개 전부 Pass</t>
        </is>
      </c>
      <c r="J60" s="19" t="inlineStr">
        <is>
          <t>P1</t>
        </is>
      </c>
      <c r="K60" s="15" t="inlineStr">
        <is>
          <t>Y</t>
        </is>
      </c>
      <c r="L60" s="17" t="inlineStr"/>
      <c r="M60" s="15" t="inlineStr"/>
      <c r="N60" s="15" t="inlineStr"/>
      <c r="O60" s="15" t="inlineStr"/>
      <c r="P60" s="15" t="inlineStr"/>
      <c r="Q60" s="15" t="inlineStr"/>
      <c r="R60" s="17" t="inlineStr">
        <is>
          <t>Assets/Scripts/Tests/EditMode/EnemyHealthTests.cs</t>
        </is>
      </c>
    </row>
    <row r="61" ht="48" customHeight="1">
      <c r="A61" s="15" t="inlineStr">
        <is>
          <t>TC-UNIT-003</t>
        </is>
      </c>
      <c r="B61" s="15" t="inlineStr">
        <is>
          <t>자동화 단위테스트</t>
        </is>
      </c>
      <c r="C61" s="17" t="inlineStr">
        <is>
          <t>BossHealth</t>
        </is>
      </c>
      <c r="D61" s="20" t="inlineStr">
        <is>
          <t>회귀</t>
        </is>
      </c>
      <c r="E61" s="17" t="inlineStr">
        <is>
          <t>BossHealth 순수 로직 단위 테스트</t>
        </is>
      </c>
      <c r="F61" s="17" t="inlineStr">
        <is>
          <t>-</t>
        </is>
      </c>
      <c r="G61" s="17" t="inlineStr">
        <is>
          <t>-</t>
        </is>
      </c>
      <c r="H61" s="17" t="inlineStr">
        <is>
          <t>Test Runner에서 BossHealthTests 7개 실행</t>
        </is>
      </c>
      <c r="I61" s="17" t="inlineStr">
        <is>
          <t>TakeDamage/Phase2 1회 발동/무적/Heal 등 7개 전부 Pass</t>
        </is>
      </c>
      <c r="J61" s="19" t="inlineStr">
        <is>
          <t>P1</t>
        </is>
      </c>
      <c r="K61" s="15" t="inlineStr">
        <is>
          <t>Y</t>
        </is>
      </c>
      <c r="L61" s="17" t="inlineStr"/>
      <c r="M61" s="15" t="inlineStr"/>
      <c r="N61" s="15" t="inlineStr"/>
      <c r="O61" s="15" t="inlineStr"/>
      <c r="P61" s="15" t="inlineStr"/>
      <c r="Q61" s="15" t="inlineStr"/>
      <c r="R61" s="17" t="inlineStr">
        <is>
          <t>Assets/Scripts/Tests/EditMode/BossHealthTests.cs</t>
        </is>
      </c>
    </row>
  </sheetData>
  <autoFilter ref="A1:R61"/>
  <conditionalFormatting sqref="M2:M61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4">
    <dataValidation sqref="J2:J61" showDropDown="0" showInputMessage="0" showErrorMessage="0" allowBlank="0" error="P0/P1/P2 중에서 선택하세요." type="list">
      <formula1>"P0,P1,P2"</formula1>
    </dataValidation>
    <dataValidation sqref="D2:D61" showDropDown="0" showInputMessage="0" showErrorMessage="0" allowBlank="0" type="list">
      <formula1>"기능,회귀,경계값,예외처리"</formula1>
    </dataValidation>
    <dataValidation sqref="K2:K61" showDropDown="0" showInputMessage="0" showErrorMessage="0" allowBlank="0" type="list">
      <formula1>"Y,N"</formula1>
    </dataValidation>
    <dataValidation sqref="M2:M61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2026-09-07T03:25:17Z</dcterms:created>
  <dcterms:modified xsi:type="dcterms:W3CDTF">2026-09-07T03:25:17Z</dcterms:modified>
</cp:coreProperties>
</file>